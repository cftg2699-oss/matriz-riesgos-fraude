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ftg2\OneDrive\Escritorio\"/>
    </mc:Choice>
  </mc:AlternateContent>
  <xr:revisionPtr revIDLastSave="0" documentId="13_ncr:20001_{25E532A2-B338-4455-8892-DC54ACCFDF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RTADA" sheetId="1" r:id="rId1"/>
    <sheet name="PARÁMETROS" sheetId="2" r:id="rId2"/>
    <sheet name="REGISTRO_RIESGOS" sheetId="3" r:id="rId3"/>
    <sheet name="MATRIZ_CALOR" sheetId="4" r:id="rId4"/>
    <sheet name="ANÁLISIS_PARETO" sheetId="5" r:id="rId5"/>
    <sheet name="INDICADORES_KRI" sheetId="6" r:id="rId6"/>
    <sheet name="CONTROLES" sheetId="7" r:id="rId7"/>
    <sheet name="ARCO_CAUSAL" sheetId="8" r:id="rId8"/>
    <sheet name="PROCESOS" sheetId="9" r:id="rId9"/>
    <sheet name="MONITOREO_CANALES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0" l="1"/>
  <c r="H83" i="10"/>
  <c r="G83" i="10"/>
  <c r="E83" i="10"/>
  <c r="D83" i="10"/>
  <c r="I82" i="10"/>
  <c r="H82" i="10"/>
  <c r="G82" i="10"/>
  <c r="E82" i="10"/>
  <c r="D82" i="10"/>
  <c r="I81" i="10"/>
  <c r="H81" i="10"/>
  <c r="G81" i="10"/>
  <c r="E81" i="10"/>
  <c r="D81" i="10"/>
  <c r="I80" i="10"/>
  <c r="H80" i="10"/>
  <c r="G80" i="10"/>
  <c r="E80" i="10"/>
  <c r="D80" i="10"/>
  <c r="I79" i="10"/>
  <c r="H79" i="10"/>
  <c r="G79" i="10"/>
  <c r="E79" i="10"/>
  <c r="D79" i="10"/>
  <c r="I78" i="10"/>
  <c r="H78" i="10"/>
  <c r="G78" i="10"/>
  <c r="E78" i="10"/>
  <c r="D78" i="10"/>
  <c r="I77" i="10"/>
  <c r="H77" i="10"/>
  <c r="G77" i="10"/>
  <c r="E77" i="10"/>
  <c r="D77" i="10"/>
  <c r="I76" i="10"/>
  <c r="H76" i="10"/>
  <c r="G76" i="10"/>
  <c r="E76" i="10"/>
  <c r="D76" i="10"/>
  <c r="N25" i="10"/>
  <c r="N24" i="10"/>
  <c r="N23" i="10"/>
  <c r="N22" i="10"/>
  <c r="N21" i="10"/>
  <c r="L15" i="10"/>
  <c r="L14" i="10"/>
  <c r="L13" i="10"/>
  <c r="L12" i="10"/>
  <c r="L11" i="10"/>
  <c r="L10" i="10"/>
  <c r="L9" i="10"/>
  <c r="L8" i="10"/>
  <c r="L7" i="10"/>
  <c r="L6" i="10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G4" i="5"/>
  <c r="E4" i="5"/>
  <c r="E19" i="5" s="1"/>
  <c r="H18" i="3"/>
  <c r="G18" i="3"/>
  <c r="G17" i="3"/>
  <c r="H17" i="3" s="1"/>
  <c r="G16" i="3"/>
  <c r="H16" i="3" s="1"/>
  <c r="G15" i="3"/>
  <c r="H15" i="3" s="1"/>
  <c r="G14" i="3"/>
  <c r="H14" i="3" s="1"/>
  <c r="G13" i="3"/>
  <c r="H13" i="3" s="1"/>
  <c r="H12" i="3"/>
  <c r="G12" i="3"/>
  <c r="G11" i="3"/>
  <c r="H11" i="3" s="1"/>
  <c r="G10" i="3"/>
  <c r="H10" i="3" s="1"/>
  <c r="G9" i="3"/>
  <c r="H9" i="3" s="1"/>
  <c r="G8" i="3"/>
  <c r="H8" i="3" s="1"/>
  <c r="G7" i="3"/>
  <c r="H7" i="3" s="1"/>
  <c r="H6" i="3"/>
  <c r="G6" i="3"/>
  <c r="G5" i="3"/>
  <c r="H5" i="3" s="1"/>
  <c r="G4" i="3"/>
  <c r="H4" i="3" s="1"/>
</calcChain>
</file>

<file path=xl/sharedStrings.xml><?xml version="1.0" encoding="utf-8"?>
<sst xmlns="http://schemas.openxmlformats.org/spreadsheetml/2006/main" count="841" uniqueCount="588">
  <si>
    <t>MATRIZ DE EVALUACIÓN DE RIESGOS DE FRAUDE</t>
  </si>
  <si>
    <t>Basada en Analítica de Datos · Monitoreo Continuo · Priorización Inteligente</t>
  </si>
  <si>
    <t>Esta herramienta integra el enfoque tradicional de evaluación cualitativa con analítica descriptiva, predictiva y monitoreo continuo. Diseñada para ser completamente personalizable: modifique los riesgos, probabilidades, impactos, pesos y procesos según las necesidades de su organización.</t>
  </si>
  <si>
    <t>CONTENIDO DEL LIBRO</t>
  </si>
  <si>
    <t xml:space="preserve">  01. PARÁMETROS</t>
  </si>
  <si>
    <t>Configure escalas de probabilidad, impacto y pesos por categoría</t>
  </si>
  <si>
    <t xml:space="preserve">  02. REGISTRO_RIESGOS</t>
  </si>
  <si>
    <t>Catálogo editable de riesgos de fraude por proceso y área</t>
  </si>
  <si>
    <t xml:space="preserve">  03. MATRIZ_CALOR</t>
  </si>
  <si>
    <t>Mapa de calor 5×5 con clasificación automática por nivel de riesgo</t>
  </si>
  <si>
    <t xml:space="preserve">  04. ANÁLISIS_PARETO</t>
  </si>
  <si>
    <t>Diagrama de Pareto — priorización 80/20 de riesgos críticos</t>
  </si>
  <si>
    <t xml:space="preserve">  05. INDICADORES_KRI</t>
  </si>
  <si>
    <t>Indicadores Clave de Riesgo y alertas analíticas configurables</t>
  </si>
  <si>
    <t xml:space="preserve">  06. CONTROLES</t>
  </si>
  <si>
    <t>Matriz de controles preventivos, detectivos y correctivos</t>
  </si>
  <si>
    <t xml:space="preserve">  07. ARCO_CAUSAL</t>
  </si>
  <si>
    <t>Diagrama Arco-Causal: causas, evento de fraude y consecuencias</t>
  </si>
  <si>
    <t xml:space="preserve">  08. PROCESOS</t>
  </si>
  <si>
    <t>Registro de procesos organizacionales y su exposición al fraude</t>
  </si>
  <si>
    <t xml:space="preserve">  09. MONITOREO_CANALES</t>
  </si>
  <si>
    <t>Puntos base (bps) por canal, umbrales, serie histórica y panel de alerta vinculado a procesos</t>
  </si>
  <si>
    <t>Versión 1.0  ·  2025  ·  Uso libre para organizaciones  ·  Modifique según sus necesidades</t>
  </si>
  <si>
    <t>PARÁMETROS DE CONFIGURACIÓN — Modifique los valores en AZUL según su organización</t>
  </si>
  <si>
    <t xml:space="preserve">  1. ESCALA DE PROBABILIDAD DE OCURRENCIA</t>
  </si>
  <si>
    <t>Nivel</t>
  </si>
  <si>
    <t>Descriptor</t>
  </si>
  <si>
    <t>Definición</t>
  </si>
  <si>
    <t>Frecuencia estimada</t>
  </si>
  <si>
    <t>Color referencia</t>
  </si>
  <si>
    <t>Muy alta</t>
  </si>
  <si>
    <t>El fraude ocurre con alta certeza o ha ocurrido recientemente</t>
  </si>
  <si>
    <t>Más de 1 vez al año</t>
  </si>
  <si>
    <t xml:space="preserve">  ◼</t>
  </si>
  <si>
    <t>Alta</t>
  </si>
  <si>
    <t>Es probable que ocurra en las circunstancias actuales</t>
  </si>
  <si>
    <t>1 vez cada 1–2 años</t>
  </si>
  <si>
    <t>Media</t>
  </si>
  <si>
    <t>Podría ocurrir bajo ciertas condiciones</t>
  </si>
  <si>
    <t>1 vez cada 3–5 años</t>
  </si>
  <si>
    <t>Baja</t>
  </si>
  <si>
    <t>Poco probable; requiere circunstancias especiales</t>
  </si>
  <si>
    <t>1 vez cada 5–10 años</t>
  </si>
  <si>
    <t>Muy baja</t>
  </si>
  <si>
    <t>Muy improbable; solo en condiciones extremas</t>
  </si>
  <si>
    <t>Menos de 1 vez en 10 años</t>
  </si>
  <si>
    <t xml:space="preserve">  2. ESCALA DE IMPACTO / MATERIALIDAD</t>
  </si>
  <si>
    <t>Definición cualitativa</t>
  </si>
  <si>
    <t>Impacto económico referencia</t>
  </si>
  <si>
    <t>Catastrófico</t>
  </si>
  <si>
    <t>Pérdida irreparable, quiebra, intervención regulatoria</t>
  </si>
  <si>
    <t>&gt; $1,000,000</t>
  </si>
  <si>
    <t>Mayor</t>
  </si>
  <si>
    <t>Daño significativo a resultados y reputación</t>
  </si>
  <si>
    <t>$100,000 – $1,000,000</t>
  </si>
  <si>
    <t>Moderado</t>
  </si>
  <si>
    <t>Pérdidas manejables; afecta metas operacionales</t>
  </si>
  <si>
    <t>$10,000 – $100,000</t>
  </si>
  <si>
    <t>Menor</t>
  </si>
  <si>
    <t>Impacto leve; corregible sin afectar resultados globales</t>
  </si>
  <si>
    <t>$1,000 – $10,000</t>
  </si>
  <si>
    <t>Insignificante</t>
  </si>
  <si>
    <t>Efecto mínimo; absorbido por los controles normales</t>
  </si>
  <si>
    <t>&lt; $1,000</t>
  </si>
  <si>
    <t xml:space="preserve">  3. TABLA DE NIVELES DE RIESGO (Probabilidad × Impacto)</t>
  </si>
  <si>
    <t>Score</t>
  </si>
  <si>
    <t>Acción requerida</t>
  </si>
  <si>
    <t>Responsable</t>
  </si>
  <si>
    <t>Plazo máximo</t>
  </si>
  <si>
    <t>17–25</t>
  </si>
  <si>
    <t>CRÍTICO</t>
  </si>
  <si>
    <t>Suspender operación / auditoría inmediata / escalamiento ejecutivo</t>
  </si>
  <si>
    <t>Dirección / Comité de Riesgos</t>
  </si>
  <si>
    <t>Inmediato (0–72 hrs)</t>
  </si>
  <si>
    <t>10–16</t>
  </si>
  <si>
    <t>ALTO</t>
  </si>
  <si>
    <t>Revisión profunda, refuerzo de controles, plan de mitigación urgente</t>
  </si>
  <si>
    <t>Gerencia de Auditoría</t>
  </si>
  <si>
    <t>7 días hábiles</t>
  </si>
  <si>
    <t>5–9</t>
  </si>
  <si>
    <t>MEDIO</t>
  </si>
  <si>
    <t>Monitoreo reforzado, actualización de controles preventivos</t>
  </si>
  <si>
    <t>Auditor Líder</t>
  </si>
  <si>
    <t>30 días hábiles</t>
  </si>
  <si>
    <t>1–4</t>
  </si>
  <si>
    <t>BAJO</t>
  </si>
  <si>
    <t>Incluir en auditorías de rutina, documentar y monitorear</t>
  </si>
  <si>
    <t>Equipo de Control Interno</t>
  </si>
  <si>
    <t>Ciclo anual</t>
  </si>
  <si>
    <t xml:space="preserve">  4. PESOS Y FACTORES DE AJUSTE POR CATEGORÍA (modifique según su sector)</t>
  </si>
  <si>
    <t>Categoría</t>
  </si>
  <si>
    <t>Peso (%)</t>
  </si>
  <si>
    <t>Justificación / Contexto</t>
  </si>
  <si>
    <t>Factor velocidad</t>
  </si>
  <si>
    <t>Factor detectabilidad</t>
  </si>
  <si>
    <t>Financiero / Tesorería</t>
  </si>
  <si>
    <t>25%</t>
  </si>
  <si>
    <t>Alta exposición monetaria directa</t>
  </si>
  <si>
    <t>Compras y proveedores</t>
  </si>
  <si>
    <t>20%</t>
  </si>
  <si>
    <t>Concentración de gasto externo</t>
  </si>
  <si>
    <t>Nómina y RRHH</t>
  </si>
  <si>
    <t>15%</t>
  </si>
  <si>
    <t>Fraude interno difícil de detectar</t>
  </si>
  <si>
    <t>Tecnológico / Ciberfraude</t>
  </si>
  <si>
    <t>Creciente vector de ataque digital</t>
  </si>
  <si>
    <t>Inventario / Activos</t>
  </si>
  <si>
    <t>10%</t>
  </si>
  <si>
    <t>Exposición física con control físico limitado</t>
  </si>
  <si>
    <t>Cumplimiento / Regulatorio</t>
  </si>
  <si>
    <t>Riesgo de sanciones y multas</t>
  </si>
  <si>
    <t>Otros / Configurables</t>
  </si>
  <si>
    <t>5%</t>
  </si>
  <si>
    <t>Categorías propias de la organización</t>
  </si>
  <si>
    <t>Variable</t>
  </si>
  <si>
    <t>📌  NOTA: Las celdas con texto en AZUL son configurables. Modifique descriptores, umbrales económicos, responsables y pesos según la realidad de su organización.</t>
  </si>
  <si>
    <t>REGISTRO DE RIESGOS DE FRAUDE  ·  Catalogue, priorice y gestione todos los riesgos identificados</t>
  </si>
  <si>
    <t xml:space="preserve">  ✏  Agregue filas nuevas respetando el formato. Columnas AZULES = datos de entrada. Columnas NEGRAS = fórmulas automáticas.</t>
  </si>
  <si>
    <t>N°</t>
  </si>
  <si>
    <t>Riesgo de Fraude</t>
  </si>
  <si>
    <t>Proceso / Área</t>
  </si>
  <si>
    <t>Prob.
(1–5)</t>
  </si>
  <si>
    <t>Impacto
(1–5)</t>
  </si>
  <si>
    <t>Score
(P×I)</t>
  </si>
  <si>
    <t>Nivel
Riesgo</t>
  </si>
  <si>
    <t>Alertas / Indicadores Analíticos</t>
  </si>
  <si>
    <t>Control Existente</t>
  </si>
  <si>
    <t>Acción Recomendada</t>
  </si>
  <si>
    <t>Fraude en tesorería y pagos</t>
  </si>
  <si>
    <t>Financiero</t>
  </si>
  <si>
    <t>Tesorería / Finanzas</t>
  </si>
  <si>
    <t>Transacciones fuera de horario, doble pago, beneficiarios nuevos</t>
  </si>
  <si>
    <t>Aprobación dual, conciliación diaria</t>
  </si>
  <si>
    <t>Auditoría inmediata + bloqueo preventivo</t>
  </si>
  <si>
    <t>Dir. Financiero</t>
  </si>
  <si>
    <t>Falsificación de estados financieros</t>
  </si>
  <si>
    <t>Contabilidad / Reportes</t>
  </si>
  <si>
    <t>Ajustes manuales elevados en cierre, variaciones atípicas en cuentas</t>
  </si>
  <si>
    <t>Revisión independiente cierre mensual</t>
  </si>
  <si>
    <t>Revisión por auditor externo</t>
  </si>
  <si>
    <t>Gerente Auditoría</t>
  </si>
  <si>
    <t>Fraude en compras y proveedores</t>
  </si>
  <si>
    <t>Adquisiciones / Compras</t>
  </si>
  <si>
    <t>Concentración proveedor único &gt;60%, precios fuera de mercado</t>
  </si>
  <si>
    <t>Comité de compras, licitaciones abiertas</t>
  </si>
  <si>
    <t>Revisión profunda de contratos y pagos</t>
  </si>
  <si>
    <t>Dir. Compras</t>
  </si>
  <si>
    <t>Apropiación de activos críticos</t>
  </si>
  <si>
    <t>Bodega / Activos Fijos</t>
  </si>
  <si>
    <t>Accesos no autorizados, inventarios con diferencias recurrentes</t>
  </si>
  <si>
    <t>Control de acceso físico, inventario sorpresa</t>
  </si>
  <si>
    <t>Investigación urgente + revisión controles</t>
  </si>
  <si>
    <t>Auditoría Interna</t>
  </si>
  <si>
    <t>Nómina fantasma / empleados ficticios</t>
  </si>
  <si>
    <t>RRHH / Nómina</t>
  </si>
  <si>
    <t>IDs duplicados, RUT inactivos, pagos a cuentas sin historial</t>
  </si>
  <si>
    <t>Cruce de RUT con registros oficiales</t>
  </si>
  <si>
    <t>Cruce con registros RRHH y biometría</t>
  </si>
  <si>
    <t>Gerente RRHH</t>
  </si>
  <si>
    <t>Fraude cibernético / suplantación</t>
  </si>
  <si>
    <t>Tecnológico</t>
  </si>
  <si>
    <t>TI / Seguridad Digital</t>
  </si>
  <si>
    <t>Patrones IP anómalos, cambios en datos bancarios de proveedores</t>
  </si>
  <si>
    <t>Autenticación MFA, alertas de cambio</t>
  </si>
  <si>
    <t>Alerta temprana + verificación adicional</t>
  </si>
  <si>
    <t>CISO / TI</t>
  </si>
  <si>
    <t>Facturación fraudulenta / empresa fantasma</t>
  </si>
  <si>
    <t>Cuentas por pagar</t>
  </si>
  <si>
    <t>RUC no verificado, facturas sin contraprestación real</t>
  </si>
  <si>
    <t>Validación RUC en registro tributario</t>
  </si>
  <si>
    <t>Revisión de proveedores activos</t>
  </si>
  <si>
    <t>Contabilidad</t>
  </si>
  <si>
    <t>Alteración de registros contables</t>
  </si>
  <si>
    <t>Asientos sin soporte, modificaciones en períodos cerrados</t>
  </si>
  <si>
    <t>Pista de auditoría activada, bloqueo de períodos</t>
  </si>
  <si>
    <t>Revisión de log de cambios</t>
  </si>
  <si>
    <t>Gerente Contabilidad</t>
  </si>
  <si>
    <t>Conflicto de intereses en contratos</t>
  </si>
  <si>
    <t>Cumplimiento</t>
  </si>
  <si>
    <t>Contratos / Legal</t>
  </si>
  <si>
    <t>Vínculos familiares con proveedores, participación en licitaciones</t>
  </si>
  <si>
    <t>Declaración de conflictos de interés anual</t>
  </si>
  <si>
    <t>Investigación de vínculos societarios</t>
  </si>
  <si>
    <t>Compliance</t>
  </si>
  <si>
    <t>Fraude en gastos de representación</t>
  </si>
  <si>
    <t>Administración General</t>
  </si>
  <si>
    <t>Frecuencia alta de reembolsos, montos cerca del umbral de aprobación</t>
  </si>
  <si>
    <t>Política de gastos, validación documental</t>
  </si>
  <si>
    <t>Muestreo analítico y validación documental</t>
  </si>
  <si>
    <t>Jefe Administración</t>
  </si>
  <si>
    <t>Fraude en inventario / robos</t>
  </si>
  <si>
    <t>Bodega / Logística</t>
  </si>
  <si>
    <t>Diferencias recurrentes en conteos, mermas inusuales</t>
  </si>
  <si>
    <t>Conteos sorpresa, cámaras de seguridad</t>
  </si>
  <si>
    <t>Inventario sorpresa y análisis de tendencias</t>
  </si>
  <si>
    <t>Jefe Bodega</t>
  </si>
  <si>
    <t>Irregularidades en caja chica</t>
  </si>
  <si>
    <t>Administración</t>
  </si>
  <si>
    <t>Frecuencia de reembolsos elevada, montos fraccionados</t>
  </si>
  <si>
    <t>Revisión mensual, topes de caja</t>
  </si>
  <si>
    <t>Revisión periódica y educación al personal</t>
  </si>
  <si>
    <t>Fraude en licitaciones y concursos</t>
  </si>
  <si>
    <t>Adquisiciones</t>
  </si>
  <si>
    <t>Ofertas parecidas entre competidores, adjudicaciones recurrentes</t>
  </si>
  <si>
    <t>Comité independiente, rotación de evaluadores</t>
  </si>
  <si>
    <t>Auditoría de proceso de licitación</t>
  </si>
  <si>
    <t>Uso indebido de información privilegiada</t>
  </si>
  <si>
    <t>Alta Dirección</t>
  </si>
  <si>
    <t>Transacciones previas a anuncios, movimientos inusuales</t>
  </si>
  <si>
    <t>Políticas de insider trading, auditoría legal</t>
  </si>
  <si>
    <t>Investigación confidencial</t>
  </si>
  <si>
    <t>Directorio</t>
  </si>
  <si>
    <t>Fraude en reembolso de gastos de viaje</t>
  </si>
  <si>
    <t>RRHH / Viajes</t>
  </si>
  <si>
    <t>Comprobantes duplicados, viajes no realizados, tarifas infladas</t>
  </si>
  <si>
    <t>Política de viajes, validación online</t>
  </si>
  <si>
    <t>Muestreo de liquidaciones de viaje</t>
  </si>
  <si>
    <t>Jefe RRHH</t>
  </si>
  <si>
    <t>MAPA DE CALOR DE RIESGOS DE FRAUDE  ·  Probabilidad × Impacto</t>
  </si>
  <si>
    <t>IMPACTO / MATERIALIDAD  →</t>
  </si>
  <si>
    <t>Muy bajo
(1)</t>
  </si>
  <si>
    <t>Bajo
(2)</t>
  </si>
  <si>
    <t>Moderado
(3)</t>
  </si>
  <si>
    <t>Alto
(4)</t>
  </si>
  <si>
    <t>Catastrófico
(5)</t>
  </si>
  <si>
    <t>LEYENDA</t>
  </si>
  <si>
    <t>Muy alta (5)</t>
  </si>
  <si>
    <t>PROBABILIDAD ↑</t>
  </si>
  <si>
    <t>5
MEDIO</t>
  </si>
  <si>
    <t>10
ALTO</t>
  </si>
  <si>
    <t>15
ALTO</t>
  </si>
  <si>
    <t>20
CRÍTICO</t>
  </si>
  <si>
    <t>25
CRÍTICO</t>
  </si>
  <si>
    <t>CRÍTICO  (17–25)</t>
  </si>
  <si>
    <t>Acción inmediata. Escalar a dirección.</t>
  </si>
  <si>
    <t>Alta (4)</t>
  </si>
  <si>
    <t>4
BAJO</t>
  </si>
  <si>
    <t>8
MEDIO</t>
  </si>
  <si>
    <t>12
ALTO</t>
  </si>
  <si>
    <t>16
ALTO</t>
  </si>
  <si>
    <t>ALTO  (10–16)</t>
  </si>
  <si>
    <t>Revisión prioritaria en 7 días hábiles.</t>
  </si>
  <si>
    <t>Media (3)</t>
  </si>
  <si>
    <t>3
BAJO</t>
  </si>
  <si>
    <t>6
MEDIO</t>
  </si>
  <si>
    <t>9
MEDIO</t>
  </si>
  <si>
    <t>MEDIO  (5–9)</t>
  </si>
  <si>
    <t>Monitoreo reforzado en 30 días.</t>
  </si>
  <si>
    <t>Baja (2)</t>
  </si>
  <si>
    <t>2
BAJO</t>
  </si>
  <si>
    <t>BAJO  (1–4)</t>
  </si>
  <si>
    <t>Control rutinario y auditoría anual.</t>
  </si>
  <si>
    <t>Muy baja (1)</t>
  </si>
  <si>
    <t>1
BAJO</t>
  </si>
  <si>
    <t>Resumen de riesgos por nivel</t>
  </si>
  <si>
    <t>Cantidad</t>
  </si>
  <si>
    <t>ANÁLISIS DE PARETO — Priorización 80/20 de Riesgos de Fraude</t>
  </si>
  <si>
    <t xml:space="preserve">  El principio de Pareto aplicado al riesgo indica que aproximadamente el 20% de los riesgos concentra el 80% del impacto total. Identifique y priorice esos riesgos críticos.</t>
  </si>
  <si>
    <t>Score
Acum.</t>
  </si>
  <si>
    <t>% Acum.</t>
  </si>
  <si>
    <t>Zona Pareto</t>
  </si>
  <si>
    <t>🔴 Top 20% — Atención crítica</t>
  </si>
  <si>
    <t>🟡 Resto 80% — Monitoreo</t>
  </si>
  <si>
    <t>TOTAL</t>
  </si>
  <si>
    <t>Datos gráfico Pareto:</t>
  </si>
  <si>
    <t>Riesgo</t>
  </si>
  <si>
    <t>% Acumulado</t>
  </si>
  <si>
    <t>Fraude en compras y proveedo…</t>
  </si>
  <si>
    <t>Apropiación de activos críti…</t>
  </si>
  <si>
    <t>Falsificación de estados fin…</t>
  </si>
  <si>
    <t>Fraude cibernético / suplant…</t>
  </si>
  <si>
    <t>Facturación fraudulenta / em…</t>
  </si>
  <si>
    <t>Alteración de registros cont…</t>
  </si>
  <si>
    <t>Fraude en licitaciones y con…</t>
  </si>
  <si>
    <t>Uso indebido de información …</t>
  </si>
  <si>
    <t>Fraude en gastos de represen…</t>
  </si>
  <si>
    <t>Nómina fantasma / empleados …</t>
  </si>
  <si>
    <t>Conflicto de intereses en co…</t>
  </si>
  <si>
    <t>Fraude en reembolso de gasto…</t>
  </si>
  <si>
    <t>Irregularidades en caja chic…</t>
  </si>
  <si>
    <t>INDICADORES CLAVE DE RIESGO (KRI)  ·  Analítica Descriptiva, Predictiva y Monitoreo Continuo</t>
  </si>
  <si>
    <t>Indicador / Alerta Analítica</t>
  </si>
  <si>
    <t>Tipo de Análisis</t>
  </si>
  <si>
    <t>Descripción y Umbral</t>
  </si>
  <si>
    <t>Frecuencia
Monitoreo</t>
  </si>
  <si>
    <t>Fuente de
Datos</t>
  </si>
  <si>
    <t>Alerta si…</t>
  </si>
  <si>
    <t>Nivel Riesgo</t>
  </si>
  <si>
    <t>Transacciones fuera de ventana horaria</t>
  </si>
  <si>
    <t>Descriptivo</t>
  </si>
  <si>
    <t>Pagos o movimientos &gt;$1,000 registrados fuera del horario 08:00–18:00</t>
  </si>
  <si>
    <t>Diario</t>
  </si>
  <si>
    <t>ERP / Core bancario</t>
  </si>
  <si>
    <t>% &gt;5% del total</t>
  </si>
  <si>
    <t>Revisar y verificar autorización</t>
  </si>
  <si>
    <t>Concentración en proveedor único</t>
  </si>
  <si>
    <t>Un proveedor acumula &gt;60% del gasto mensual en compras</t>
  </si>
  <si>
    <t>Mensual</t>
  </si>
  <si>
    <t>Sistema de compras</t>
  </si>
  <si>
    <t>&gt;60% gasto acum.</t>
  </si>
  <si>
    <t>Auditoría de contrato y vínculos</t>
  </si>
  <si>
    <t>Ajustes manuales en cierre contable</t>
  </si>
  <si>
    <t>Analítico</t>
  </si>
  <si>
    <t>Asientos manuales &gt;3% del total de movimientos en período de cierre</t>
  </si>
  <si>
    <t>ERP / Contabilidad</t>
  </si>
  <si>
    <t>&gt;3% del total</t>
  </si>
  <si>
    <t>Revisión pista de auditoría</t>
  </si>
  <si>
    <t>RUT / IDs duplicados en nómina</t>
  </si>
  <si>
    <t>Automatizado</t>
  </si>
  <si>
    <t>Empleados con identificaciones repetidas o cuentas bancarias duplicadas</t>
  </si>
  <si>
    <t>Quincenal</t>
  </si>
  <si>
    <t>&gt;0 duplicados</t>
  </si>
  <si>
    <t>Bloqueo + investigación RRHH</t>
  </si>
  <si>
    <t>Montos cerca del umbral de aprobación</t>
  </si>
  <si>
    <t>Predictivo</t>
  </si>
  <si>
    <t>Facturas en rango ±5% del límite de aprobación sin segunda firma</t>
  </si>
  <si>
    <t>Semanal</t>
  </si>
  <si>
    <t>&gt;3 facturas/sem</t>
  </si>
  <si>
    <t>Solicitar aprobación adicional</t>
  </si>
  <si>
    <t>Cambios en datos bancarios proveedores</t>
  </si>
  <si>
    <t>Modificación de cuentas bancarias sin respaldo documental aprobado</t>
  </si>
  <si>
    <t>Tiempo real</t>
  </si>
  <si>
    <t>CRM/ERP Proveedores</t>
  </si>
  <si>
    <t>Cualquier cambio</t>
  </si>
  <si>
    <t>Verificar con proveedor directo</t>
  </si>
  <si>
    <t>Variaciones atípicas en inventario</t>
  </si>
  <si>
    <t>Diferencias entre conteo físico y sistema &gt;2% por categoría</t>
  </si>
  <si>
    <t>WMS / Bodega</t>
  </si>
  <si>
    <t>&gt;2% diferencia</t>
  </si>
  <si>
    <t>Conteo sorpresa + investigación</t>
  </si>
  <si>
    <t>Accesos privilegiados fuera de rol</t>
  </si>
  <si>
    <t>Usuarios con permisos admin accediendo módulos fuera de sus funciones</t>
  </si>
  <si>
    <t>Active Directory / IAM</t>
  </si>
  <si>
    <t>Cualquier acceso</t>
  </si>
  <si>
    <t>Revisión de permisos y log</t>
  </si>
  <si>
    <t>Proveedores con RUC/NIT no verificado</t>
  </si>
  <si>
    <t>Proveedores activos sin verificación en registros tributarios oficiales</t>
  </si>
  <si>
    <t>SUNAT/SRI/DIAN cruce</t>
  </si>
  <si>
    <t>&gt;0 no verificados</t>
  </si>
  <si>
    <t>Suspender pagos + validar</t>
  </si>
  <si>
    <t>Empleados con múltiples roles conflictivos</t>
  </si>
  <si>
    <t>Usuario puede registrar Y aprobar la misma transacción (segregación débil)</t>
  </si>
  <si>
    <t>ERP / Control accesos</t>
  </si>
  <si>
    <t>&gt;0 conflictos</t>
  </si>
  <si>
    <t>Revisar y corregir segregación</t>
  </si>
  <si>
    <t>Facturas sin orden de compra asociada</t>
  </si>
  <si>
    <t>Pagos realizados a proveedores sin OC previa aprobada</t>
  </si>
  <si>
    <t>ERP / Compras</t>
  </si>
  <si>
    <t>&gt;5% del total</t>
  </si>
  <si>
    <t>Investigar cada caso individualmente</t>
  </si>
  <si>
    <t>Transferencias internacionales inusuales</t>
  </si>
  <si>
    <t>Envíos a cuentas en jurisdicciones de alto riesgo sin justificación</t>
  </si>
  <si>
    <t>Core bancario / Swift</t>
  </si>
  <si>
    <t>Cualquier envío</t>
  </si>
  <si>
    <t>Congelamiento preventivo + revisión</t>
  </si>
  <si>
    <t xml:space="preserve">   TIPOS DE ANÁLISIS:  Descriptivo = qué pasó  |  Analítico = por qué pasó  |  Predictivo = qué podría pasar  |  Automatizado = alerta en tiempo real / batch</t>
  </si>
  <si>
    <t>Tipo</t>
  </si>
  <si>
    <t>MATRIZ DE CONTROLES  ·  Preventivos, Detectivos y Correctivos por Riesgo de Fraude</t>
  </si>
  <si>
    <t>Riesgo Asociado</t>
  </si>
  <si>
    <t>Tipo Control</t>
  </si>
  <si>
    <t>Control Preventivo</t>
  </si>
  <si>
    <t>Control Detectivo</t>
  </si>
  <si>
    <t>Control Correctivo</t>
  </si>
  <si>
    <t>Efectividad
(1–5)</t>
  </si>
  <si>
    <t>Estado</t>
  </si>
  <si>
    <t>Preventivo+Detectivo</t>
  </si>
  <si>
    <t>Aprobación dual de pagos &gt;$5,000</t>
  </si>
  <si>
    <t>Conciliación bancaria diaria automatizada</t>
  </si>
  <si>
    <t>Recuperación mediante seguro + investigación</t>
  </si>
  <si>
    <t>Activo</t>
  </si>
  <si>
    <t>Preventivo</t>
  </si>
  <si>
    <t>Licitación abierta para contratos &gt;$10,000</t>
  </si>
  <si>
    <t>Análisis de concentración de gasto mensual</t>
  </si>
  <si>
    <t>Rescisión de contrato + denuncia</t>
  </si>
  <si>
    <t>Gerente Compras</t>
  </si>
  <si>
    <t>Nómina fantasma</t>
  </si>
  <si>
    <t>Detectivo</t>
  </si>
  <si>
    <t>Validación biométrica de asistencia</t>
  </si>
  <si>
    <t>Cruce mensual de nómina vs registros RRHH</t>
  </si>
  <si>
    <t>Eliminación inmediata + recuperación</t>
  </si>
  <si>
    <t>Fraude cibernético</t>
  </si>
  <si>
    <t>Autenticación multifactor obligatoria</t>
  </si>
  <si>
    <t>SIEM / alertas de comportamiento anómalo</t>
  </si>
  <si>
    <t>Bloqueo de cuentas + respaldo de sistemas</t>
  </si>
  <si>
    <t>Apropiación de activos</t>
  </si>
  <si>
    <t>Control de acceso físico con registro</t>
  </si>
  <si>
    <t>Inventario sorpresa semestral</t>
  </si>
  <si>
    <t>Reporte policial + seguro</t>
  </si>
  <si>
    <t>Parcial</t>
  </si>
  <si>
    <t>Segregación de funciones contables</t>
  </si>
  <si>
    <t>Revisión independiente de estados mensuales</t>
  </si>
  <si>
    <t>Reexpresión + auditoría externa</t>
  </si>
  <si>
    <t>Conflicto de intereses</t>
  </si>
  <si>
    <t>Declaración anual de intereses y vínculos</t>
  </si>
  <si>
    <t>Revisión de adjudicaciones vs declaraciones</t>
  </si>
  <si>
    <t>Separación del proceso + investigación</t>
  </si>
  <si>
    <t>Fraude en gastos</t>
  </si>
  <si>
    <t>Política de gastos con topes y excepciones</t>
  </si>
  <si>
    <t>Muestreo aleatorio de liquidaciones 20%</t>
  </si>
  <si>
    <t>Descuento de planilla + medida disciplinaria</t>
  </si>
  <si>
    <t>Fraude en inventario</t>
  </si>
  <si>
    <t>Registros perpetuos con código de barras/RFID</t>
  </si>
  <si>
    <t>Conteos sorpresa trimestrales</t>
  </si>
  <si>
    <t>Investigación + ajuste de inventario</t>
  </si>
  <si>
    <t>Facturación fraudulenta</t>
  </si>
  <si>
    <t>Validación de RUC/NIT antes de activar proveedor</t>
  </si>
  <si>
    <t>Revisión de facturas vs OC y entrega real</t>
  </si>
  <si>
    <t>Denuncia tributaria + recuperación</t>
  </si>
  <si>
    <t>Cuentas por Pagar</t>
  </si>
  <si>
    <t>DIAGRAMA DE ARCO-CAUSAL (BOW-TIE)  ·  Causas, Evento de Fraude y Consecuencias</t>
  </si>
  <si>
    <t xml:space="preserve">  El diagrama de Arco-Causal conecta las causas raíz (izquierda) con el evento de fraude (centro) y las consecuencias (derecha). Los controles preventivos actúan sobre las causas; los controles detectivos/correctivos sobre las consecuencias.</t>
  </si>
  <si>
    <t>CAUSAS RAÍZ</t>
  </si>
  <si>
    <t>CONTROLES
PREVENTIVOS</t>
  </si>
  <si>
    <t>CONTROLES
DETECTIVOS</t>
  </si>
  <si>
    <t>CONSECUENCIAS</t>
  </si>
  <si>
    <t>⚠  EVENTO DE FRAUDE  ⚠</t>
  </si>
  <si>
    <t>Débil segregación de funciones</t>
  </si>
  <si>
    <t xml:space="preserve">  →</t>
  </si>
  <si>
    <t>Política de segregación de tareas</t>
  </si>
  <si>
    <t>Revisión periódica de roles y accesos</t>
  </si>
  <si>
    <t>⚠</t>
  </si>
  <si>
    <t>Pérdida financiera directa</t>
  </si>
  <si>
    <t>Ausencia de controles TI</t>
  </si>
  <si>
    <t>SIEM y alertas de comportamiento</t>
  </si>
  <si>
    <t>Daño reputacional</t>
  </si>
  <si>
    <t>Falta de cultura ética organizacional</t>
  </si>
  <si>
    <t>Código de conducta y capacitación anual</t>
  </si>
  <si>
    <t>Línea de denuncias anónimas activa</t>
  </si>
  <si>
    <t>Sanciones regulatorias / multas</t>
  </si>
  <si>
    <t>Presión sobre resultados financieros</t>
  </si>
  <si>
    <t>Objetivos realistas y medibles</t>
  </si>
  <si>
    <t>Análisis de variaciones atípicas en cierres</t>
  </si>
  <si>
    <t>Responsabilidad penal de directivos</t>
  </si>
  <si>
    <t>Proveedores sin validación adecuada</t>
  </si>
  <si>
    <t>Proceso formal de homologación proveedores</t>
  </si>
  <si>
    <t>Auditoría de cuentas por pagar mensual</t>
  </si>
  <si>
    <t>Pérdida de contratos / clientes</t>
  </si>
  <si>
    <t>Acceso excesivo a sistemas críticos</t>
  </si>
  <si>
    <t>Principio de mínimo privilegio (RBAC)</t>
  </si>
  <si>
    <t>Log de auditoría y acceso revisado mensual</t>
  </si>
  <si>
    <t>Interrupción de operaciones</t>
  </si>
  <si>
    <t>Falta de supervisión en procesos clave</t>
  </si>
  <si>
    <t>Controles duales en transacciones críticas</t>
  </si>
  <si>
    <t>Muestreo analítico de transacciones</t>
  </si>
  <si>
    <t>Impacto en estados financieros</t>
  </si>
  <si>
    <t>REGISTRO DE PROCESOS  ·  Exposición al Fraude por Proceso Organizacional</t>
  </si>
  <si>
    <t>Proceso</t>
  </si>
  <si>
    <t>Área / Gerencia</t>
  </si>
  <si>
    <t>Subproceso crítico</t>
  </si>
  <si>
    <t>Exposición
(1–5)</t>
  </si>
  <si>
    <t>Controles
existentes (1–5)</t>
  </si>
  <si>
    <t>Principales riesgos asociados</t>
  </si>
  <si>
    <t>Nivel exposición
neta</t>
  </si>
  <si>
    <t>Prioridad
auditoria</t>
  </si>
  <si>
    <t>Gestión de tesorería y pagos</t>
  </si>
  <si>
    <t>Finanzas</t>
  </si>
  <si>
    <t>Desembolsos y pagos a terceros</t>
  </si>
  <si>
    <t>Fraude en pagos, doble pago, beneficiario falso</t>
  </si>
  <si>
    <t>Adquisiciones y contratación</t>
  </si>
  <si>
    <t>Compras</t>
  </si>
  <si>
    <t>Selección y evaluación proveedores</t>
  </si>
  <si>
    <t>Colusión, soborno, empresa fantasma</t>
  </si>
  <si>
    <t>Gestión de nómina</t>
  </si>
  <si>
    <t>RRHH</t>
  </si>
  <si>
    <t>Liquidación y pago sueldos</t>
  </si>
  <si>
    <t>Empleado fantasma, horas extras infladas</t>
  </si>
  <si>
    <t>Registro y cierre contable</t>
  </si>
  <si>
    <t>Asientos contables y ajustes</t>
  </si>
  <si>
    <t>Manipulación de registros, window dressing</t>
  </si>
  <si>
    <t>Gestión de inventarios</t>
  </si>
  <si>
    <t>Logística / Bodega</t>
  </si>
  <si>
    <t>Recepción y despacho de mercancía</t>
  </si>
  <si>
    <t>Robo hormiga, merma manipulada</t>
  </si>
  <si>
    <t>Cuentas por cobrar</t>
  </si>
  <si>
    <t>Facturación a clientes</t>
  </si>
  <si>
    <t>Fraude en cobranza, descuentos no autorizados</t>
  </si>
  <si>
    <t>Recepción y pago de facturas</t>
  </si>
  <si>
    <t>Facturas falsas, proveedores ficticios</t>
  </si>
  <si>
    <t>Gestión de contratos</t>
  </si>
  <si>
    <t>Legal / Compras</t>
  </si>
  <si>
    <t>Elaboración y seguimiento</t>
  </si>
  <si>
    <t>Conflicto de intereses, cláusulas abusivas</t>
  </si>
  <si>
    <t>Viáticos y gastos de representación</t>
  </si>
  <si>
    <t>RRHH / Admin</t>
  </si>
  <si>
    <t>Solicitud y reembolso de gastos</t>
  </si>
  <si>
    <t>Gastos inflados, comprobantes duplicados</t>
  </si>
  <si>
    <t>Gestión TI y accesos</t>
  </si>
  <si>
    <t>TI / Sistemas</t>
  </si>
  <si>
    <t>Administración de usuarios y datos</t>
  </si>
  <si>
    <t>Acceso indebido, exfiltración de datos</t>
  </si>
  <si>
    <t>Recaudación e ingresos</t>
  </si>
  <si>
    <t>Ventas / Caja</t>
  </si>
  <si>
    <t>Cobros y registro de ingresos</t>
  </si>
  <si>
    <t>Sustracción en caja, ventas no registradas</t>
  </si>
  <si>
    <t>Importaciones y aduana</t>
  </si>
  <si>
    <t>Comercio exterior</t>
  </si>
  <si>
    <t>Declaraciones y pagos arancelarios</t>
  </si>
  <si>
    <t>Subfacturación, contrabando técnico</t>
  </si>
  <si>
    <t>Exposición</t>
  </si>
  <si>
    <t>Controles</t>
  </si>
  <si>
    <t>Gestión de tesorería…</t>
  </si>
  <si>
    <t>Adquisiciones y cont…</t>
  </si>
  <si>
    <t>Registro y cierre co…</t>
  </si>
  <si>
    <t>Gestión de inventari…</t>
  </si>
  <si>
    <t>Viáticos y gastos de…</t>
  </si>
  <si>
    <t>Recaudación e ingres…</t>
  </si>
  <si>
    <t>Importaciones y adua…</t>
  </si>
  <si>
    <t>MONITOREO DE RIESGO POR CANAL  ·  Puntos Base (bps) como Métrica de Exposición al Fraude</t>
  </si>
  <si>
    <t xml:space="preserve">  Un punto base (bps) = 0.01% del volumen transaccionado. Esta hoja registra la tasa de fraude observada por canal y periodo. Si los bps superan el umbral definido, el riesgo del proceso asociado se actualiza automáticamente en la tabla de alerta.</t>
  </si>
  <si>
    <t xml:space="preserve">  TABLA 1 — Configuración de Canales y Umbrales de Alerta (modifique los valores en AZUL)</t>
  </si>
  <si>
    <t>Canal / Proceso</t>
  </si>
  <si>
    <t>Proceso Asociado
(ref. hoja PROCESOS)</t>
  </si>
  <si>
    <t>Volumen promedio
mensual ($)</t>
  </si>
  <si>
    <t>Umbral alerta
Bajo (bps)</t>
  </si>
  <si>
    <t>Umbral alerta
Medio (bps)</t>
  </si>
  <si>
    <t>Umbral alerta
Alto (bps)</t>
  </si>
  <si>
    <t>Umbral alerta
Crítico (bps)</t>
  </si>
  <si>
    <t>Responsable
Monitoreo</t>
  </si>
  <si>
    <t>Frecuencia
Revisión</t>
  </si>
  <si>
    <t>bps
Observados
(entrada)</t>
  </si>
  <si>
    <t>Estado
Alerta
(auto)</t>
  </si>
  <si>
    <t>Banca en línea / e-banking</t>
  </si>
  <si>
    <t>Gestión de tesorería</t>
  </si>
  <si>
    <t>Pagos con tarjeta (POS/e-commerce)</t>
  </si>
  <si>
    <t>Jefe Canales</t>
  </si>
  <si>
    <t>Transferencias interbancarias</t>
  </si>
  <si>
    <t>Tesorero</t>
  </si>
  <si>
    <t>Caja y efectivo</t>
  </si>
  <si>
    <t>Jefe Caja</t>
  </si>
  <si>
    <t>Pagos a proveedores (ACH/SWIFT)</t>
  </si>
  <si>
    <t>Gerente Finanzas</t>
  </si>
  <si>
    <t>Canal móvil / app</t>
  </si>
  <si>
    <t>Banca digital / Canales</t>
  </si>
  <si>
    <t>Compras corporativas (tarjeta)</t>
  </si>
  <si>
    <t>Jefe Adquisiciones</t>
  </si>
  <si>
    <t>Nómina y transferencias RRHH</t>
  </si>
  <si>
    <t>Pagos internacionales</t>
  </si>
  <si>
    <t>Crédito y cobranza</t>
  </si>
  <si>
    <t>Jefe Crédito</t>
  </si>
  <si>
    <t xml:space="preserve">  📌  Ingrese los bps observados en la columna 'bps Observados'. La columna 'Estado Alerta' se calcula automáticamente comparando contra los umbrales definidos. Ejemplo: 1 bps = $50 de pérdida por fraude en un canal de $500,000 de volumen mensual.</t>
  </si>
  <si>
    <t xml:space="preserve">  TABLA 2 — Serie Histórica de bps por Canal (ingrese datos mensuales para ver tendencia)</t>
  </si>
  <si>
    <t>Canal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</si>
  <si>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</si>
  <si>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</si>
  <si>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</si>
  <si>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</si>
  <si>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</si>
  <si>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</si>
  <si>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</si>
  <si>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</si>
  <si>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</si>
  <si>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</si>
  <si>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</si>
  <si>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</si>
  <si>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
Anual</t>
  </si>
  <si>
    <t>Banca en línea</t>
  </si>
  <si>
    <t>Pagos con tarjeta</t>
  </si>
  <si>
    <t>Transferencias</t>
  </si>
  <si>
    <t>Pagos proveedores</t>
  </si>
  <si>
    <t xml:space="preserve">  TABLA 3 — Panel de Alerta: bps Observados vs Umbral → Impacto en Proceso de Riesgo</t>
  </si>
  <si>
    <t>bps
Observados</t>
  </si>
  <si>
    <t>Umbral
Alto (bps)</t>
  </si>
  <si>
    <t>Exceso
(bps)</t>
  </si>
  <si>
    <t>Monto estimado
pérdida ($)</t>
  </si>
  <si>
    <t>Proceso de Riesgo
Activado</t>
  </si>
  <si>
    <t>Score Riesgo
Adicional</t>
  </si>
  <si>
    <t>Nivel
Resultante</t>
  </si>
  <si>
    <t>Acción
Inmediata</t>
  </si>
  <si>
    <t>Fecha
Última revisión</t>
  </si>
  <si>
    <t>Escalado a</t>
  </si>
  <si>
    <t>K6</t>
  </si>
  <si>
    <t>G6</t>
  </si>
  <si>
    <t>K7</t>
  </si>
  <si>
    <t>G7</t>
  </si>
  <si>
    <t>K8</t>
  </si>
  <si>
    <t>G8</t>
  </si>
  <si>
    <t>K9</t>
  </si>
  <si>
    <t>G9</t>
  </si>
  <si>
    <t>K10</t>
  </si>
  <si>
    <t>G10</t>
  </si>
  <si>
    <t>K11</t>
  </si>
  <si>
    <t>G11</t>
  </si>
  <si>
    <t>K12</t>
  </si>
  <si>
    <t>G12</t>
  </si>
  <si>
    <t>K13</t>
  </si>
  <si>
    <t>G13</t>
  </si>
  <si>
    <t xml:space="preserve">  🔗  CÓMO USAR: (1) Ingrese los bps observados en la Tabla 1 col. K. (2) El Panel de Alerta (Tabla 3) refleja automáticamente el nivel de riesgo por proceso. (3) Si el nivel es ALTO o CRÍTICO, abra la hoja REGISTRO_RIESGOS y aumente la Probabilidad del proceso afectado para reflejar el incremento de riesgo detectado por analítica.</t>
  </si>
  <si>
    <t>Herramienta para Equipos de prevencion, Ciber-fraude, Auditores y Control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</si>
</sst>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0.0"/>
  </numFmts>
  <fonts count="49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i/>
      <sz val="12"/>
      <color rgb="FFB8C8E0"/>
      <name val="Arial"/>
    </font>
    <font>
      <b/>
      <sz val="13"/>
      <color rgb="FFFFFFFF"/>
      <name val="Arial"/>
    </font>
    <font>
      <sz val="10"/>
      <color rgb="FFB8C8E0"/>
      <name val="Arial"/>
    </font>
    <font>
      <b/>
      <sz val="11"/>
      <color rgb="FFFFFFFF"/>
      <name val="Arial"/>
    </font>
    <font>
      <b/>
      <sz val="10"/>
      <color rgb="FFFAC775"/>
      <name val="Arial"/>
    </font>
    <font>
      <i/>
      <sz val="9"/>
      <color rgb="FF6A8AB0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4"/>
      <color rgb="FFFFC7CE"/>
      <name val="Calibri"/>
    </font>
    <font>
      <b/>
      <sz val="14"/>
      <color rgb="FFFCBF75"/>
      <name val="Calibri"/>
    </font>
    <font>
      <b/>
      <sz val="14"/>
      <color rgb="FFFFEB9C"/>
      <name val="Calibri"/>
    </font>
    <font>
      <b/>
      <sz val="14"/>
      <color rgb="FFC6EFCE"/>
      <name val="Calibri"/>
    </font>
    <font>
      <b/>
      <sz val="10"/>
      <color rgb="FF000000"/>
      <name val="Arial"/>
    </font>
    <font>
      <i/>
      <sz val="10"/>
      <color rgb="FF2D5FA0"/>
      <name val="Arial"/>
    </font>
    <font>
      <i/>
      <sz val="9"/>
      <color rgb="FF2D5FA0"/>
      <name val="Arial"/>
    </font>
    <font>
      <b/>
      <sz val="10"/>
      <color rgb="FFFFFFFF"/>
      <name val="Arial"/>
    </font>
    <font>
      <b/>
      <sz val="8"/>
      <color rgb="FF1A2B4A"/>
      <name val="Arial"/>
    </font>
    <font>
      <b/>
      <sz val="11"/>
      <color rgb="FF9C5700"/>
      <name val="Arial"/>
    </font>
    <font>
      <b/>
      <sz val="11"/>
      <color rgb="FF833C00"/>
      <name val="Arial"/>
    </font>
    <font>
      <b/>
      <sz val="11"/>
      <color rgb="FF9C0006"/>
      <name val="Arial"/>
    </font>
    <font>
      <b/>
      <sz val="11"/>
      <color rgb="FF276221"/>
      <name val="Arial"/>
    </font>
    <font>
      <b/>
      <sz val="10"/>
      <color rgb="FF9C0006"/>
      <name val="Arial"/>
    </font>
    <font>
      <sz val="9"/>
      <color rgb="FF595959"/>
      <name val="Arial"/>
    </font>
    <font>
      <b/>
      <sz val="10"/>
      <color rgb="FF833C00"/>
      <name val="Arial"/>
    </font>
    <font>
      <b/>
      <sz val="10"/>
      <color rgb="FF9C5700"/>
      <name val="Arial"/>
    </font>
    <font>
      <b/>
      <sz val="10"/>
      <color rgb="FF276221"/>
      <name val="Arial"/>
    </font>
    <font>
      <b/>
      <sz val="10"/>
      <color rgb="FF1A2B4A"/>
      <name val="Arial"/>
    </font>
    <font>
      <b/>
      <sz val="9"/>
      <color rgb="FF9C0006"/>
      <name val="Arial"/>
    </font>
    <font>
      <b/>
      <sz val="9"/>
      <color rgb="FF833C00"/>
      <name val="Arial"/>
    </font>
    <font>
      <b/>
      <sz val="9"/>
      <color rgb="FF9C5700"/>
      <name val="Arial"/>
    </font>
    <font>
      <b/>
      <sz val="9"/>
      <color rgb="FF276221"/>
      <name val="Arial"/>
    </font>
    <font>
      <i/>
      <sz val="9"/>
      <color rgb="FF595959"/>
      <name val="Arial"/>
    </font>
    <font>
      <sz val="10"/>
      <color rgb="FF276221"/>
      <name val="Arial"/>
    </font>
    <font>
      <sz val="10"/>
      <color rgb="FF595959"/>
      <name val="Arial"/>
    </font>
    <font>
      <b/>
      <sz val="11"/>
      <color rgb="FF000000"/>
      <name val="Arial"/>
    </font>
    <font>
      <b/>
      <sz val="9"/>
      <color rgb="FF595959"/>
      <name val="Arial"/>
    </font>
    <font>
      <sz val="9"/>
      <color rgb="FF1A2B4A"/>
      <name val="Arial"/>
    </font>
    <font>
      <sz val="9"/>
      <color rgb="FF276221"/>
      <name val="Arial"/>
    </font>
    <font>
      <sz val="9"/>
      <color rgb="FF9C0006"/>
      <name val="Arial"/>
    </font>
    <font>
      <b/>
      <sz val="12"/>
      <color rgb="FF2D5FA0"/>
      <name val="Arial"/>
    </font>
    <font>
      <b/>
      <sz val="12"/>
      <color rgb="FF9C0006"/>
      <name val="Arial"/>
    </font>
    <font>
      <sz val="9"/>
      <color rgb="FF000000"/>
      <name val="Arial"/>
    </font>
    <font>
      <sz val="9"/>
      <color rgb="FF0000FF"/>
      <name val="Arial"/>
    </font>
    <font>
      <b/>
      <sz val="9"/>
      <color rgb="FF000000"/>
      <name val="Arial"/>
    </font>
    <font>
      <i/>
      <sz val="9"/>
      <color rgb="FF276221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2D5FA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CBF7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AF3FB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276221"/>
      </patternFill>
    </fill>
    <fill>
      <patternFill patternType="solid">
        <fgColor rgb="FF9C5700"/>
      </patternFill>
    </fill>
    <fill>
      <patternFill patternType="solid">
        <fgColor rgb="FF9C0006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A2B4A"/>
      </left>
      <right style="medium">
        <color rgb="FF1A2B4A"/>
      </right>
      <top style="medium">
        <color rgb="FF1A2B4A"/>
      </top>
      <bottom style="medium">
        <color rgb="FF1A2B4A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A2B4A"/>
      </top>
      <bottom style="medium">
        <color rgb="FF1A2B4A"/>
      </bottom>
      <diagonal/>
    </border>
    <border>
      <left/>
      <right style="medium">
        <color rgb="FF1A2B4A"/>
      </right>
      <top style="medium">
        <color rgb="FF1A2B4A"/>
      </top>
      <bottom style="medium">
        <color rgb="FF1A2B4A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2" borderId="0" xfId="0" applyFill="1"/>
    <xf numFmtId="0" fontId="0" fillId="3" borderId="0" xfId="0" applyFill="1"/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9" fillId="3" borderId="0" xfId="0" applyFont="1" applyFill="1"/>
    <xf numFmtId="0" fontId="31" fillId="6" borderId="1" xfId="0" applyFont="1" applyFill="1" applyBorder="1"/>
    <xf numFmtId="0" fontId="0" fillId="0" borderId="1" xfId="0" applyBorder="1"/>
    <xf numFmtId="0" fontId="32" fillId="7" borderId="1" xfId="0" applyFont="1" applyFill="1" applyBorder="1"/>
    <xf numFmtId="0" fontId="33" fillId="8" borderId="1" xfId="0" applyFont="1" applyFill="1" applyBorder="1"/>
    <xf numFmtId="0" fontId="34" fillId="9" borderId="1" xfId="0" applyFont="1" applyFill="1" applyBorder="1"/>
    <xf numFmtId="0" fontId="25" fillId="6" borderId="1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8" fillId="11" borderId="1" xfId="0" applyFont="1" applyFill="1" applyBorder="1"/>
    <xf numFmtId="164" fontId="38" fillId="11" borderId="1" xfId="0" applyNumberFormat="1" applyFont="1" applyFill="1" applyBorder="1"/>
    <xf numFmtId="0" fontId="39" fillId="0" borderId="0" xfId="0" applyFont="1"/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left" vertical="center" wrapText="1"/>
    </xf>
    <xf numFmtId="0" fontId="43" fillId="11" borderId="0" xfId="0" applyFont="1" applyFill="1" applyAlignment="1">
      <alignment horizontal="center" vertical="center"/>
    </xf>
    <xf numFmtId="0" fontId="41" fillId="13" borderId="1" xfId="0" applyFont="1" applyFill="1" applyBorder="1" applyAlignment="1">
      <alignment horizontal="left" vertical="center" wrapText="1"/>
    </xf>
    <xf numFmtId="0" fontId="44" fillId="12" borderId="0" xfId="0" applyFont="1" applyFill="1" applyAlignment="1">
      <alignment horizontal="center" vertical="center"/>
    </xf>
    <xf numFmtId="0" fontId="42" fillId="6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left" vertical="center" wrapText="1"/>
    </xf>
    <xf numFmtId="165" fontId="46" fillId="4" borderId="1" xfId="0" applyNumberFormat="1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/>
    </xf>
    <xf numFmtId="0" fontId="45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left" vertical="center" wrapText="1"/>
    </xf>
    <xf numFmtId="165" fontId="46" fillId="5" borderId="1" xfId="0" applyNumberFormat="1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/>
    </xf>
    <xf numFmtId="0" fontId="47" fillId="4" borderId="1" xfId="0" applyFont="1" applyFill="1" applyBorder="1"/>
    <xf numFmtId="0" fontId="46" fillId="4" borderId="1" xfId="0" applyFont="1" applyFill="1" applyBorder="1" applyAlignment="1">
      <alignment horizontal="center" vertical="center"/>
    </xf>
    <xf numFmtId="166" fontId="47" fillId="0" borderId="1" xfId="0" applyNumberFormat="1" applyFont="1" applyBorder="1" applyAlignment="1">
      <alignment horizontal="center" vertical="center"/>
    </xf>
    <xf numFmtId="0" fontId="47" fillId="5" borderId="1" xfId="0" applyFont="1" applyFill="1" applyBorder="1"/>
    <xf numFmtId="0" fontId="46" fillId="5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 wrapText="1"/>
    </xf>
    <xf numFmtId="165" fontId="45" fillId="4" borderId="1" xfId="0" applyNumberFormat="1" applyFont="1" applyFill="1" applyBorder="1" applyAlignment="1">
      <alignment horizontal="left" vertical="center" wrapText="1"/>
    </xf>
    <xf numFmtId="0" fontId="45" fillId="5" borderId="1" xfId="0" applyFont="1" applyFill="1" applyBorder="1" applyAlignment="1">
      <alignment horizontal="left" vertical="center" wrapText="1"/>
    </xf>
    <xf numFmtId="165" fontId="45" fillId="5" borderId="1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7" fillId="10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8" fillId="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30" fillId="0" borderId="0" xfId="0" applyFont="1"/>
    <xf numFmtId="0" fontId="9" fillId="3" borderId="0" xfId="0" applyFont="1" applyFill="1" applyAlignment="1">
      <alignment horizontal="center" vertical="center" textRotation="90" wrapText="1"/>
    </xf>
    <xf numFmtId="0" fontId="35" fillId="10" borderId="0" xfId="0" applyFont="1" applyFill="1" applyAlignment="1">
      <alignment horizontal="left" vertical="center" wrapText="1"/>
    </xf>
    <xf numFmtId="0" fontId="35" fillId="10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48" fillId="13" borderId="0" xfId="0" applyFont="1" applyFill="1" applyAlignment="1">
      <alignment horizontal="left" vertical="center" wrapText="1"/>
    </xf>
    <xf numFmtId="0" fontId="18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b/>
        <sz val="9"/>
        <color rgb="FF276221"/>
        <name val="Arial"/>
      </font>
      <fill>
        <patternFill patternType="solid">
          <fgColor rgb="FFE2EFDA"/>
        </patternFill>
      </fill>
    </dxf>
    <dxf>
      <font>
        <b/>
        <sz val="9"/>
        <color rgb="FF276221"/>
        <name val="Arial"/>
      </font>
      <fill>
        <patternFill patternType="solid">
          <fgColor rgb="FFC6EFCE"/>
        </patternFill>
      </fill>
    </dxf>
    <dxf>
      <font>
        <b/>
        <sz val="9"/>
        <color rgb="FF9C5700"/>
        <name val="Arial"/>
      </font>
      <fill>
        <patternFill patternType="solid">
          <fgColor rgb="FFFFEB9C"/>
        </patternFill>
      </fill>
    </dxf>
    <dxf>
      <font>
        <b/>
        <sz val="9"/>
        <color rgb="FF833C00"/>
        <name val="Arial"/>
      </font>
      <fill>
        <patternFill patternType="solid">
          <fgColor rgb="FFFCBF75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9"/>
        <color rgb="FF276221"/>
        <name val="Arial"/>
      </font>
      <fill>
        <patternFill patternType="solid">
          <fgColor rgb="FFE2EFDA"/>
        </patternFill>
      </fill>
    </dxf>
    <dxf>
      <font>
        <b/>
        <sz val="9"/>
        <color rgb="FF9C5700"/>
        <name val="Arial"/>
      </font>
      <fill>
        <patternFill patternType="solid">
          <fgColor rgb="FFFFEB9C"/>
        </patternFill>
      </fill>
    </dxf>
    <dxf>
      <font>
        <b/>
        <sz val="9"/>
        <color rgb="FF833C00"/>
        <name val="Arial"/>
      </font>
      <fill>
        <patternFill patternType="solid">
          <fgColor rgb="FFFCBF75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9C5700"/>
        <name val="Arial"/>
      </font>
      <fill>
        <patternFill patternType="solid">
          <fgColor rgb="FFFFEB9C"/>
        </patternFill>
      </fill>
    </dxf>
    <dxf>
      <font>
        <b/>
        <sz val="11"/>
        <color rgb="FF833C00"/>
        <name val="Arial"/>
      </font>
      <fill>
        <patternFill patternType="solid">
          <fgColor rgb="FFFCBF75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9C5700"/>
        <name val="Arial"/>
      </font>
      <fill>
        <patternFill patternType="solid">
          <fgColor rgb="FFFFEB9C"/>
        </patternFill>
      </fill>
    </dxf>
    <dxf>
      <font>
        <b/>
        <sz val="11"/>
        <color rgb="FF833C00"/>
        <name val="Arial"/>
      </font>
      <fill>
        <patternFill patternType="solid">
          <fgColor rgb="FFFCBF75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C"/>
              <a:t>Riesgos por Nivel de Criticidad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MATRIZ_CALOR!$J$12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MATRIZ_CALOR!$I$13:$I$16</c:f>
              <c:strCache>
                <c:ptCount val="4"/>
                <c:pt idx="0">
                  <c:v>CRÍTICO</c:v>
                </c:pt>
                <c:pt idx="1">
                  <c:v>ALTO</c:v>
                </c:pt>
                <c:pt idx="2">
                  <c:v>MEDIO</c:v>
                </c:pt>
                <c:pt idx="3">
                  <c:v>BAJO</c:v>
                </c:pt>
              </c:strCache>
            </c:strRef>
          </c:cat>
          <c:val>
            <c:numRef>
              <c:f>MATRIZ_CALOR!$J$13:$J$16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8-4CC4-BCB9-BD662DA7D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Nivel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Cantidad de riesgos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C"/>
              <a:t>Diagrama de Pareto — Riesgos de Fraude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ANÁLISIS_PARETO!$B$22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ANÁLISIS_PARETO!$A$23:$A$37</c:f>
              <c:strCache>
                <c:ptCount val="15"/>
                <c:pt idx="0">
                  <c:v>Fraude en tesorería y pagos</c:v>
                </c:pt>
                <c:pt idx="1">
                  <c:v>Fraude en compras y proveedo…</c:v>
                </c:pt>
                <c:pt idx="2">
                  <c:v>Apropiación de activos críti…</c:v>
                </c:pt>
                <c:pt idx="3">
                  <c:v>Falsificación de estados fin…</c:v>
                </c:pt>
                <c:pt idx="4">
                  <c:v>Fraude cibernético / suplant…</c:v>
                </c:pt>
                <c:pt idx="5">
                  <c:v>Facturación fraudulenta / em…</c:v>
                </c:pt>
                <c:pt idx="6">
                  <c:v>Alteración de registros cont…</c:v>
                </c:pt>
                <c:pt idx="7">
                  <c:v>Fraude en licitaciones y con…</c:v>
                </c:pt>
                <c:pt idx="8">
                  <c:v>Uso indebido de información …</c:v>
                </c:pt>
                <c:pt idx="9">
                  <c:v>Fraude en gastos de represen…</c:v>
                </c:pt>
                <c:pt idx="10">
                  <c:v>Nómina fantasma / empleados …</c:v>
                </c:pt>
                <c:pt idx="11">
                  <c:v>Conflicto de intereses en co…</c:v>
                </c:pt>
                <c:pt idx="12">
                  <c:v>Fraude en inventario / robos</c:v>
                </c:pt>
                <c:pt idx="13">
                  <c:v>Fraude en reembolso de gasto…</c:v>
                </c:pt>
                <c:pt idx="14">
                  <c:v>Irregularidades en caja chic…</c:v>
                </c:pt>
              </c:strCache>
            </c:strRef>
          </c:cat>
          <c:val>
            <c:numRef>
              <c:f>ANÁLISIS_PARETO!$B$23:$B$37</c:f>
              <c:numCache>
                <c:formatCode>General</c:formatCode>
                <c:ptCount val="15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A-4CF5-9D89-B0E4BD3E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ANÁLISIS_PARETO!$C$22</c:f>
              <c:strCache>
                <c:ptCount val="1"/>
                <c:pt idx="0">
                  <c:v>% Acumulado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ANÁLISIS_PARETO!$C$23:$C$37</c:f>
              <c:numCache>
                <c:formatCode>General</c:formatCode>
                <c:ptCount val="15"/>
                <c:pt idx="0">
                  <c:v>14</c:v>
                </c:pt>
                <c:pt idx="1">
                  <c:v>25.1</c:v>
                </c:pt>
                <c:pt idx="2">
                  <c:v>36.299999999999997</c:v>
                </c:pt>
                <c:pt idx="3">
                  <c:v>45.3</c:v>
                </c:pt>
                <c:pt idx="4">
                  <c:v>53.6</c:v>
                </c:pt>
                <c:pt idx="5">
                  <c:v>60.3</c:v>
                </c:pt>
                <c:pt idx="6">
                  <c:v>67</c:v>
                </c:pt>
                <c:pt idx="7">
                  <c:v>72.599999999999994</c:v>
                </c:pt>
                <c:pt idx="8">
                  <c:v>78.2</c:v>
                </c:pt>
                <c:pt idx="9">
                  <c:v>83.2</c:v>
                </c:pt>
                <c:pt idx="10">
                  <c:v>87.7</c:v>
                </c:pt>
                <c:pt idx="11">
                  <c:v>92.2</c:v>
                </c:pt>
                <c:pt idx="12">
                  <c:v>95.5</c:v>
                </c:pt>
                <c:pt idx="13">
                  <c:v>98.9</c:v>
                </c:pt>
                <c:pt idx="14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3A-4CF5-9D89-B0E4BD3E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Score de Riesgo (P × I)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% Acumulado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C"/>
              <a:t>KRI por Tipo de Análisis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INDICADORES_KRI!$B$20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INDICADORES_KRI!$A$21:$A$24</c:f>
              <c:strCache>
                <c:ptCount val="4"/>
                <c:pt idx="0">
                  <c:v>Descriptivo</c:v>
                </c:pt>
                <c:pt idx="1">
                  <c:v>Analítico</c:v>
                </c:pt>
                <c:pt idx="2">
                  <c:v>Automatizado</c:v>
                </c:pt>
                <c:pt idx="3">
                  <c:v>Predictivo</c:v>
                </c:pt>
              </c:strCache>
            </c:strRef>
          </c:cat>
          <c:val>
            <c:numRef>
              <c:f>INDICADORES_KRI!$B$21:$B$24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2-411C-8303-EACFE3CD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C"/>
              <a:t>Exposición vs Controles por Proceso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PROCESOS!$B$18</c:f>
              <c:strCache>
                <c:ptCount val="1"/>
                <c:pt idx="0">
                  <c:v>Exposición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PROCESOS!$A$19:$A$30</c:f>
              <c:strCache>
                <c:ptCount val="12"/>
                <c:pt idx="0">
                  <c:v>Gestión de tesorería…</c:v>
                </c:pt>
                <c:pt idx="1">
                  <c:v>Adquisiciones y cont…</c:v>
                </c:pt>
                <c:pt idx="2">
                  <c:v>Gestión de nómina</c:v>
                </c:pt>
                <c:pt idx="3">
                  <c:v>Registro y cierre co…</c:v>
                </c:pt>
                <c:pt idx="4">
                  <c:v>Gestión de inventari…</c:v>
                </c:pt>
                <c:pt idx="5">
                  <c:v>Cuentas por cobrar</c:v>
                </c:pt>
                <c:pt idx="6">
                  <c:v>Cuentas por pagar</c:v>
                </c:pt>
                <c:pt idx="7">
                  <c:v>Gestión de contratos</c:v>
                </c:pt>
                <c:pt idx="8">
                  <c:v>Viáticos y gastos de…</c:v>
                </c:pt>
                <c:pt idx="9">
                  <c:v>Gestión TI y accesos</c:v>
                </c:pt>
                <c:pt idx="10">
                  <c:v>Recaudación e ingres…</c:v>
                </c:pt>
                <c:pt idx="11">
                  <c:v>Importaciones y adua…</c:v>
                </c:pt>
              </c:strCache>
            </c:strRef>
          </c:cat>
          <c:val>
            <c:numRef>
              <c:f>PROCESOS!$B$19:$B$30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C-4A53-AEBB-0FA9B20FC52F}"/>
            </c:ext>
          </c:extLst>
        </c:ser>
        <c:ser>
          <c:idx val="1"/>
          <c:order val="1"/>
          <c:tx>
            <c:strRef>
              <c:f>PROCESOS!$C$18</c:f>
              <c:strCache>
                <c:ptCount val="1"/>
                <c:pt idx="0">
                  <c:v>Controles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PROCESOS!$A$19:$A$30</c:f>
              <c:strCache>
                <c:ptCount val="12"/>
                <c:pt idx="0">
                  <c:v>Gestión de tesorería…</c:v>
                </c:pt>
                <c:pt idx="1">
                  <c:v>Adquisiciones y cont…</c:v>
                </c:pt>
                <c:pt idx="2">
                  <c:v>Gestión de nómina</c:v>
                </c:pt>
                <c:pt idx="3">
                  <c:v>Registro y cierre co…</c:v>
                </c:pt>
                <c:pt idx="4">
                  <c:v>Gestión de inventari…</c:v>
                </c:pt>
                <c:pt idx="5">
                  <c:v>Cuentas por cobrar</c:v>
                </c:pt>
                <c:pt idx="6">
                  <c:v>Cuentas por pagar</c:v>
                </c:pt>
                <c:pt idx="7">
                  <c:v>Gestión de contratos</c:v>
                </c:pt>
                <c:pt idx="8">
                  <c:v>Viáticos y gastos de…</c:v>
                </c:pt>
                <c:pt idx="9">
                  <c:v>Gestión TI y accesos</c:v>
                </c:pt>
                <c:pt idx="10">
                  <c:v>Recaudación e ingres…</c:v>
                </c:pt>
                <c:pt idx="11">
                  <c:v>Importaciones y adua…</c:v>
                </c:pt>
              </c:strCache>
            </c:strRef>
          </c:cat>
          <c:val>
            <c:numRef>
              <c:f>PROCESOS!$C$19:$C$30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C-4A53-AEBB-0FA9B20FC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Nivel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Proceso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C"/>
              <a:t>Tendencia de bps por Canal (Fraude Observado)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AE-40FE-8292-31BE9CED4DA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MONITOREO_CANALES!$C$21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AE-40FE-8292-31BE9CED4DA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MONITOREO_CANALES!$D$21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AE-40FE-8292-31BE9CED4DA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MONITOREO_CANALES!$E$21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AAE-40FE-8292-31BE9CED4DA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MONITOREO_CANALES!$F$21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AAE-40FE-8292-31BE9CED4DA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MONITOREO_CANALES!$G$21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AAE-40FE-8292-31BE9CED4DA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MONITOREO_CANALES!$H$21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AAE-40FE-8292-31BE9CED4DA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MONITOREO_CANALES!$I$21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AAE-40FE-8292-31BE9CED4DA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MONITOREO_CANALES!$J$21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AAE-40FE-8292-31BE9CED4DA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MONITOREO_CANALES!$K$21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AAE-40FE-8292-31BE9CED4DA1}"/>
            </c:ext>
          </c:extLst>
        </c:ser>
        <c:ser>
          <c:idx val="10"/>
          <c:order val="10"/>
          <c:tx>
            <c:v>Banca en línea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MONITOREO_CANALES!$L$21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AAE-40FE-8292-31BE9CED4DA1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MONITOREO_CANALES!$B$22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AAE-40FE-8292-31BE9CED4DA1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MONITOREO_CANALES!$C$22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AAE-40FE-8292-31BE9CED4DA1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MONITOREO_CANALES!$D$22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AAE-40FE-8292-31BE9CED4DA1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MONITOREO_CANALES!$E$22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AAE-40FE-8292-31BE9CED4DA1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MONITOREO_CANALES!$F$22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AAE-40FE-8292-31BE9CED4DA1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MONITOREO_CANALES!$G$22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5AAE-40FE-8292-31BE9CED4DA1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MONITOREO_CANALES!$H$22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5AAE-40FE-8292-31BE9CED4DA1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MONITOREO_CANALES!$I$22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5AAE-40FE-8292-31BE9CED4DA1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MONITOREO_CANALES!$J$22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5AAE-40FE-8292-31BE9CED4DA1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MONITOREO_CANALES!$K$22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5AAE-40FE-8292-31BE9CED4DA1}"/>
            </c:ext>
          </c:extLst>
        </c:ser>
        <c:ser>
          <c:idx val="21"/>
          <c:order val="21"/>
          <c:tx>
            <c:v>Pagos con tarjeta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MONITOREO_CANALES!$L$22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5AAE-40FE-8292-31BE9CED4DA1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MONITOREO_CANALES!$B$23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5AAE-40FE-8292-31BE9CED4DA1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MONITOREO_CANALES!$C$23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5AAE-40FE-8292-31BE9CED4DA1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MONITOREO_CANALES!$D$23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5AAE-40FE-8292-31BE9CED4DA1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MONITOREO_CANALES!$E$23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5AAE-40FE-8292-31BE9CED4DA1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MONITOREO_CANALES!$F$23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5AAE-40FE-8292-31BE9CED4DA1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MONITOREO_CANALES!$G$23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5AAE-40FE-8292-31BE9CED4DA1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MONITOREO_CANALES!$H$23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5AAE-40FE-8292-31BE9CED4DA1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MONITOREO_CANALES!$I$23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5AAE-40FE-8292-31BE9CED4DA1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MONITOREO_CANALES!$J$23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5AAE-40FE-8292-31BE9CED4DA1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MONITOREO_CANALES!$K$23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5AAE-40FE-8292-31BE9CED4DA1}"/>
            </c:ext>
          </c:extLst>
        </c:ser>
        <c:ser>
          <c:idx val="32"/>
          <c:order val="32"/>
          <c:tx>
            <c:v>Transferencias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MONITOREO_CANALES!$L$23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5AAE-40FE-8292-31BE9CED4DA1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MONITOREO_CANALES!$B$24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5AAE-40FE-8292-31BE9CED4DA1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MONITOREO_CANALES!$C$24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5AAE-40FE-8292-31BE9CED4DA1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MONITOREO_CANALES!$D$24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5AAE-40FE-8292-31BE9CED4DA1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MONITOREO_CANALES!$E$24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5AAE-40FE-8292-31BE9CED4DA1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MONITOREO_CANALES!$F$24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5AAE-40FE-8292-31BE9CED4DA1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MONITOREO_CANALES!$G$24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5AAE-40FE-8292-31BE9CED4DA1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MONITOREO_CANALES!$H$24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5AAE-40FE-8292-31BE9CED4DA1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MONITOREO_CANALES!$I$24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5AAE-40FE-8292-31BE9CED4DA1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MONITOREO_CANALES!$J$24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5AAE-40FE-8292-31BE9CED4DA1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MONITOREO_CANALES!$K$24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5AAE-40FE-8292-31BE9CED4DA1}"/>
            </c:ext>
          </c:extLst>
        </c:ser>
        <c:ser>
          <c:idx val="43"/>
          <c:order val="43"/>
          <c:tx>
            <c:v>Caja y efectivo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MONITOREO_CANALES!$L$24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5AAE-40FE-8292-31BE9CED4DA1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MONITOREO_CANALES!$B$25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5AAE-40FE-8292-31BE9CED4DA1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MONITOREO_CANALES!$C$25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5AAE-40FE-8292-31BE9CED4DA1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MONITOREO_CANALES!$D$25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5AAE-40FE-8292-31BE9CED4DA1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MONITOREO_CANALES!$E$25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5AAE-40FE-8292-31BE9CED4DA1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MONITOREO_CANALES!$F$25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5AAE-40FE-8292-31BE9CED4DA1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MONITOREO_CANALES!$G$25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5AAE-40FE-8292-31BE9CED4DA1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MONITOREO_CANALES!$H$25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5AAE-40FE-8292-31BE9CED4DA1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MONITOREO_CANALES!$I$25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5AAE-40FE-8292-31BE9CED4DA1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MONITOREO_CANALES!$J$25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5AAE-40FE-8292-31BE9CED4DA1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MONITOREO_CANALES!$K$25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5AAE-40FE-8292-31BE9CED4DA1}"/>
            </c:ext>
          </c:extLst>
        </c:ser>
        <c:ser>
          <c:idx val="54"/>
          <c:order val="54"/>
          <c:tx>
            <c:v>Pagos proveedores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MONITOREO_CANALES!$B$20:$L$20</c:f>
              <c:strCache>
                <c:ptCount val="11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MONITOREO_CANALES!$L$25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5AAE-40FE-8292-31BE9CED4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Puntos Base (bps)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17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468630</xdr:colOff>
      <xdr:row>1</xdr:row>
      <xdr:rowOff>283845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29</xdr:row>
      <xdr:rowOff>171450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35</xdr:row>
      <xdr:rowOff>114300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B4A"/>
  </sheetPr>
  <dimension ref="A1:L60"/>
  <sheetViews>
    <sheetView showGridLines="0" tabSelected="1" workbookViewId="0">
      <selection activeCell="O18" sqref="O18"/>
    </sheetView>
  </sheetViews>
  <sheetFormatPr defaultRowHeight="14.4" x14ac:dyDescent="0.3"/>
  <cols>
    <col min="1" max="12" width="10" customWidth="1"/>
  </cols>
  <sheetData>
    <row r="1" spans="1:12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90" t="s">
        <v>0</v>
      </c>
      <c r="C5" s="87"/>
      <c r="D5" s="87"/>
      <c r="E5" s="87"/>
      <c r="F5" s="87"/>
      <c r="G5" s="87"/>
      <c r="H5" s="87"/>
      <c r="I5" s="87"/>
      <c r="J5" s="87"/>
      <c r="K5" s="87"/>
      <c r="L5" s="1"/>
    </row>
    <row r="6" spans="1:12" x14ac:dyDescent="0.3">
      <c r="A6" s="1"/>
      <c r="B6" s="87"/>
      <c r="C6" s="87"/>
      <c r="D6" s="87"/>
      <c r="E6" s="87"/>
      <c r="F6" s="87"/>
      <c r="G6" s="87"/>
      <c r="H6" s="87"/>
      <c r="I6" s="87"/>
      <c r="J6" s="87"/>
      <c r="K6" s="87"/>
      <c r="L6" s="1"/>
    </row>
    <row r="7" spans="1:12" x14ac:dyDescent="0.3">
      <c r="A7" s="1"/>
      <c r="B7" s="87"/>
      <c r="C7" s="87"/>
      <c r="D7" s="87"/>
      <c r="E7" s="87"/>
      <c r="F7" s="87"/>
      <c r="G7" s="87"/>
      <c r="H7" s="87"/>
      <c r="I7" s="87"/>
      <c r="J7" s="87"/>
      <c r="K7" s="87"/>
      <c r="L7" s="1"/>
    </row>
    <row r="8" spans="1:12" x14ac:dyDescent="0.3">
      <c r="A8" s="1"/>
      <c r="B8" s="89" t="s">
        <v>1</v>
      </c>
      <c r="C8" s="87"/>
      <c r="D8" s="87"/>
      <c r="E8" s="87"/>
      <c r="F8" s="87"/>
      <c r="G8" s="87"/>
      <c r="H8" s="87"/>
      <c r="I8" s="87"/>
      <c r="J8" s="87"/>
      <c r="K8" s="87"/>
      <c r="L8" s="1"/>
    </row>
    <row r="9" spans="1:12" x14ac:dyDescent="0.3">
      <c r="A9" s="1"/>
      <c r="B9" s="87"/>
      <c r="C9" s="87"/>
      <c r="D9" s="87"/>
      <c r="E9" s="87"/>
      <c r="F9" s="87"/>
      <c r="G9" s="87"/>
      <c r="H9" s="87"/>
      <c r="I9" s="87"/>
      <c r="J9" s="87"/>
      <c r="K9" s="87"/>
      <c r="L9" s="1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6.8" x14ac:dyDescent="0.3">
      <c r="A12" s="1"/>
      <c r="B12" s="92" t="s">
        <v>587</v>
      </c>
      <c r="C12" s="87"/>
      <c r="D12" s="87"/>
      <c r="E12" s="87"/>
      <c r="F12" s="87"/>
      <c r="G12" s="87"/>
      <c r="H12" s="87"/>
      <c r="I12" s="87"/>
      <c r="J12" s="87"/>
      <c r="K12" s="87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94" t="s">
        <v>2</v>
      </c>
      <c r="C14" s="87"/>
      <c r="D14" s="87"/>
      <c r="E14" s="87"/>
      <c r="F14" s="87"/>
      <c r="G14" s="87"/>
      <c r="H14" s="87"/>
      <c r="I14" s="87"/>
      <c r="J14" s="87"/>
      <c r="K14" s="87"/>
      <c r="L14" s="1"/>
    </row>
    <row r="15" spans="1:12" x14ac:dyDescent="0.3">
      <c r="A15" s="1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1"/>
    </row>
    <row r="16" spans="1:12" x14ac:dyDescent="0.3">
      <c r="A16" s="1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91" t="s">
        <v>3</v>
      </c>
      <c r="C18" s="87"/>
      <c r="D18" s="87"/>
      <c r="E18" s="87"/>
      <c r="F18" s="87"/>
      <c r="G18" s="87"/>
      <c r="H18" s="87"/>
      <c r="I18" s="87"/>
      <c r="J18" s="87"/>
      <c r="K18" s="87"/>
      <c r="L18" s="1"/>
    </row>
    <row r="19" spans="1:12" x14ac:dyDescent="0.3">
      <c r="A19" s="1"/>
      <c r="B19" s="86" t="s">
        <v>4</v>
      </c>
      <c r="C19" s="87"/>
      <c r="D19" s="88" t="s">
        <v>5</v>
      </c>
      <c r="E19" s="87"/>
      <c r="F19" s="87"/>
      <c r="G19" s="87"/>
      <c r="H19" s="87"/>
      <c r="I19" s="87"/>
      <c r="J19" s="87"/>
      <c r="K19" s="87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86" t="s">
        <v>6</v>
      </c>
      <c r="C21" s="87"/>
      <c r="D21" s="88" t="s">
        <v>7</v>
      </c>
      <c r="E21" s="87"/>
      <c r="F21" s="87"/>
      <c r="G21" s="87"/>
      <c r="H21" s="87"/>
      <c r="I21" s="87"/>
      <c r="J21" s="87"/>
      <c r="K21" s="87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86" t="s">
        <v>8</v>
      </c>
      <c r="C23" s="87"/>
      <c r="D23" s="88" t="s">
        <v>9</v>
      </c>
      <c r="E23" s="87"/>
      <c r="F23" s="87"/>
      <c r="G23" s="87"/>
      <c r="H23" s="87"/>
      <c r="I23" s="87"/>
      <c r="J23" s="87"/>
      <c r="K23" s="87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86" t="s">
        <v>10</v>
      </c>
      <c r="C25" s="87"/>
      <c r="D25" s="88" t="s">
        <v>11</v>
      </c>
      <c r="E25" s="87"/>
      <c r="F25" s="87"/>
      <c r="G25" s="87"/>
      <c r="H25" s="87"/>
      <c r="I25" s="87"/>
      <c r="J25" s="87"/>
      <c r="K25" s="87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86" t="s">
        <v>12</v>
      </c>
      <c r="C27" s="87"/>
      <c r="D27" s="88" t="s">
        <v>13</v>
      </c>
      <c r="E27" s="87"/>
      <c r="F27" s="87"/>
      <c r="G27" s="87"/>
      <c r="H27" s="87"/>
      <c r="I27" s="87"/>
      <c r="J27" s="87"/>
      <c r="K27" s="87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86" t="s">
        <v>14</v>
      </c>
      <c r="C29" s="87"/>
      <c r="D29" s="88" t="s">
        <v>15</v>
      </c>
      <c r="E29" s="87"/>
      <c r="F29" s="87"/>
      <c r="G29" s="87"/>
      <c r="H29" s="87"/>
      <c r="I29" s="87"/>
      <c r="J29" s="87"/>
      <c r="K29" s="87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86" t="s">
        <v>16</v>
      </c>
      <c r="C31" s="87"/>
      <c r="D31" s="88" t="s">
        <v>17</v>
      </c>
      <c r="E31" s="87"/>
      <c r="F31" s="87"/>
      <c r="G31" s="87"/>
      <c r="H31" s="87"/>
      <c r="I31" s="87"/>
      <c r="J31" s="87"/>
      <c r="K31" s="87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86" t="s">
        <v>18</v>
      </c>
      <c r="C33" s="87"/>
      <c r="D33" s="88" t="s">
        <v>19</v>
      </c>
      <c r="E33" s="87"/>
      <c r="F33" s="87"/>
      <c r="G33" s="87"/>
      <c r="H33" s="87"/>
      <c r="I33" s="87"/>
      <c r="J33" s="87"/>
      <c r="K33" s="87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86" t="s">
        <v>20</v>
      </c>
      <c r="C36" s="87"/>
      <c r="D36" s="88" t="s">
        <v>21</v>
      </c>
      <c r="E36" s="87"/>
      <c r="F36" s="87"/>
      <c r="G36" s="87"/>
      <c r="H36" s="87"/>
      <c r="I36" s="87"/>
      <c r="J36" s="87"/>
      <c r="K36" s="87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93" t="s">
        <v>22</v>
      </c>
      <c r="C55" s="87"/>
      <c r="D55" s="87"/>
      <c r="E55" s="87"/>
      <c r="F55" s="87"/>
      <c r="G55" s="87"/>
      <c r="H55" s="87"/>
      <c r="I55" s="87"/>
      <c r="J55" s="87"/>
      <c r="K55" s="87"/>
      <c r="L55" s="1"/>
    </row>
    <row r="56" spans="1:12" x14ac:dyDescent="0.3">
      <c r="A56" s="1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24">
    <mergeCell ref="B55:K56"/>
    <mergeCell ref="B33:C33"/>
    <mergeCell ref="D25:K25"/>
    <mergeCell ref="D33:K33"/>
    <mergeCell ref="B36:C36"/>
    <mergeCell ref="D29:K29"/>
    <mergeCell ref="D36:K36"/>
    <mergeCell ref="B5:K7"/>
    <mergeCell ref="B21:C21"/>
    <mergeCell ref="D21:K21"/>
    <mergeCell ref="B23:C23"/>
    <mergeCell ref="D27:K27"/>
    <mergeCell ref="B29:C29"/>
    <mergeCell ref="B18:K18"/>
    <mergeCell ref="B19:C19"/>
    <mergeCell ref="B12:K12"/>
    <mergeCell ref="D23:K23"/>
    <mergeCell ref="B14:K16"/>
    <mergeCell ref="B25:C25"/>
    <mergeCell ref="D19:K19"/>
    <mergeCell ref="B31:C31"/>
    <mergeCell ref="B8:K9"/>
    <mergeCell ref="B27:C27"/>
    <mergeCell ref="D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5FA0"/>
  </sheetPr>
  <dimension ref="A1:H36"/>
  <sheetViews>
    <sheetView showGridLines="0" topLeftCell="A17" workbookViewId="0">
      <selection sqref="A1:H1"/>
    </sheetView>
  </sheetViews>
  <sheetFormatPr defaultRowHeight="14.4" x14ac:dyDescent="0.3"/>
  <cols>
    <col min="1" max="1" width="23" bestFit="1" customWidth="1"/>
    <col min="2" max="2" width="22" customWidth="1"/>
    <col min="3" max="3" width="28" customWidth="1"/>
    <col min="4" max="4" width="16" customWidth="1"/>
    <col min="5" max="6" width="22" customWidth="1"/>
    <col min="7" max="8" width="18" customWidth="1"/>
  </cols>
  <sheetData>
    <row r="1" spans="1:8" ht="28.05" customHeight="1" x14ac:dyDescent="0.3">
      <c r="A1" s="101" t="s">
        <v>23</v>
      </c>
      <c r="B1" s="87"/>
      <c r="C1" s="87"/>
      <c r="D1" s="87"/>
      <c r="E1" s="87"/>
      <c r="F1" s="87"/>
      <c r="G1" s="87"/>
      <c r="H1" s="87"/>
    </row>
    <row r="3" spans="1:8" ht="22.05" customHeight="1" x14ac:dyDescent="0.3">
      <c r="A3" s="95" t="s">
        <v>24</v>
      </c>
      <c r="B3" s="96"/>
      <c r="C3" s="96"/>
      <c r="D3" s="96"/>
      <c r="E3" s="96"/>
      <c r="F3" s="96"/>
      <c r="G3" s="96"/>
      <c r="H3" s="97"/>
    </row>
    <row r="4" spans="1:8" ht="30" customHeight="1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/>
      <c r="G4" s="3"/>
      <c r="H4" s="3"/>
    </row>
    <row r="5" spans="1:8" ht="28.05" customHeight="1" x14ac:dyDescent="0.3">
      <c r="A5" s="4">
        <v>5</v>
      </c>
      <c r="B5" s="5" t="s">
        <v>30</v>
      </c>
      <c r="C5" s="6" t="s">
        <v>31</v>
      </c>
      <c r="D5" s="4" t="s">
        <v>32</v>
      </c>
      <c r="E5" s="7" t="s">
        <v>33</v>
      </c>
    </row>
    <row r="6" spans="1:8" ht="28.05" customHeight="1" x14ac:dyDescent="0.3">
      <c r="A6" s="8">
        <v>4</v>
      </c>
      <c r="B6" s="9" t="s">
        <v>34</v>
      </c>
      <c r="C6" s="10" t="s">
        <v>35</v>
      </c>
      <c r="D6" s="8" t="s">
        <v>36</v>
      </c>
      <c r="E6" s="11" t="s">
        <v>33</v>
      </c>
    </row>
    <row r="7" spans="1:8" ht="28.05" customHeight="1" x14ac:dyDescent="0.3">
      <c r="A7" s="4">
        <v>3</v>
      </c>
      <c r="B7" s="5" t="s">
        <v>37</v>
      </c>
      <c r="C7" s="6" t="s">
        <v>38</v>
      </c>
      <c r="D7" s="4" t="s">
        <v>39</v>
      </c>
      <c r="E7" s="12" t="s">
        <v>33</v>
      </c>
    </row>
    <row r="8" spans="1:8" ht="28.05" customHeight="1" x14ac:dyDescent="0.3">
      <c r="A8" s="8">
        <v>2</v>
      </c>
      <c r="B8" s="9" t="s">
        <v>40</v>
      </c>
      <c r="C8" s="10" t="s">
        <v>41</v>
      </c>
      <c r="D8" s="8" t="s">
        <v>42</v>
      </c>
      <c r="E8" s="13" t="s">
        <v>33</v>
      </c>
    </row>
    <row r="9" spans="1:8" ht="28.05" customHeight="1" x14ac:dyDescent="0.3">
      <c r="A9" s="4">
        <v>1</v>
      </c>
      <c r="B9" s="5" t="s">
        <v>43</v>
      </c>
      <c r="C9" s="6" t="s">
        <v>44</v>
      </c>
      <c r="D9" s="4" t="s">
        <v>45</v>
      </c>
      <c r="E9" s="14" t="s">
        <v>33</v>
      </c>
    </row>
    <row r="11" spans="1:8" ht="22.05" customHeight="1" x14ac:dyDescent="0.3">
      <c r="A11" s="95" t="s">
        <v>46</v>
      </c>
      <c r="B11" s="96"/>
      <c r="C11" s="96"/>
      <c r="D11" s="96"/>
      <c r="E11" s="96"/>
      <c r="F11" s="96"/>
      <c r="G11" s="96"/>
      <c r="H11" s="97"/>
    </row>
    <row r="12" spans="1:8" ht="30" customHeight="1" x14ac:dyDescent="0.3">
      <c r="A12" s="3" t="s">
        <v>25</v>
      </c>
      <c r="B12" s="3" t="s">
        <v>26</v>
      </c>
      <c r="C12" s="3" t="s">
        <v>47</v>
      </c>
      <c r="D12" s="3" t="s">
        <v>48</v>
      </c>
      <c r="E12" s="3" t="s">
        <v>29</v>
      </c>
      <c r="F12" s="3"/>
      <c r="G12" s="3"/>
      <c r="H12" s="3"/>
    </row>
    <row r="13" spans="1:8" ht="28.05" customHeight="1" x14ac:dyDescent="0.3">
      <c r="A13" s="4">
        <v>5</v>
      </c>
      <c r="B13" s="5" t="s">
        <v>49</v>
      </c>
      <c r="C13" s="6" t="s">
        <v>50</v>
      </c>
      <c r="D13" s="4" t="s">
        <v>51</v>
      </c>
      <c r="E13" s="7" t="s">
        <v>33</v>
      </c>
    </row>
    <row r="14" spans="1:8" ht="28.05" customHeight="1" x14ac:dyDescent="0.3">
      <c r="A14" s="8">
        <v>4</v>
      </c>
      <c r="B14" s="9" t="s">
        <v>52</v>
      </c>
      <c r="C14" s="10" t="s">
        <v>53</v>
      </c>
      <c r="D14" s="8" t="s">
        <v>54</v>
      </c>
      <c r="E14" s="11" t="s">
        <v>33</v>
      </c>
    </row>
    <row r="15" spans="1:8" ht="28.05" customHeight="1" x14ac:dyDescent="0.3">
      <c r="A15" s="4">
        <v>3</v>
      </c>
      <c r="B15" s="5" t="s">
        <v>55</v>
      </c>
      <c r="C15" s="6" t="s">
        <v>56</v>
      </c>
      <c r="D15" s="4" t="s">
        <v>57</v>
      </c>
      <c r="E15" s="12" t="s">
        <v>33</v>
      </c>
    </row>
    <row r="16" spans="1:8" ht="28.05" customHeight="1" x14ac:dyDescent="0.3">
      <c r="A16" s="8">
        <v>2</v>
      </c>
      <c r="B16" s="9" t="s">
        <v>58</v>
      </c>
      <c r="C16" s="10" t="s">
        <v>59</v>
      </c>
      <c r="D16" s="8" t="s">
        <v>60</v>
      </c>
      <c r="E16" s="13" t="s">
        <v>33</v>
      </c>
    </row>
    <row r="17" spans="1:8" ht="28.05" customHeight="1" x14ac:dyDescent="0.3">
      <c r="A17" s="4">
        <v>1</v>
      </c>
      <c r="B17" s="5" t="s">
        <v>61</v>
      </c>
      <c r="C17" s="6" t="s">
        <v>62</v>
      </c>
      <c r="D17" s="4" t="s">
        <v>63</v>
      </c>
      <c r="E17" s="14" t="s">
        <v>33</v>
      </c>
    </row>
    <row r="19" spans="1:8" ht="22.05" customHeight="1" x14ac:dyDescent="0.3">
      <c r="A19" s="95" t="s">
        <v>64</v>
      </c>
      <c r="B19" s="96"/>
      <c r="C19" s="96"/>
      <c r="D19" s="96"/>
      <c r="E19" s="96"/>
      <c r="F19" s="96"/>
      <c r="G19" s="96"/>
      <c r="H19" s="97"/>
    </row>
    <row r="20" spans="1:8" ht="30" customHeight="1" x14ac:dyDescent="0.3">
      <c r="A20" s="3" t="s">
        <v>65</v>
      </c>
      <c r="B20" s="3" t="s">
        <v>25</v>
      </c>
      <c r="C20" s="3" t="s">
        <v>66</v>
      </c>
      <c r="D20" s="3" t="s">
        <v>67</v>
      </c>
      <c r="E20" s="3" t="s">
        <v>68</v>
      </c>
      <c r="F20" s="3"/>
      <c r="G20" s="3"/>
      <c r="H20" s="3"/>
    </row>
    <row r="21" spans="1:8" ht="28.05" customHeight="1" x14ac:dyDescent="0.3">
      <c r="A21" s="15" t="s">
        <v>69</v>
      </c>
      <c r="B21" s="16" t="s">
        <v>70</v>
      </c>
      <c r="C21" s="6" t="s">
        <v>71</v>
      </c>
      <c r="D21" s="5" t="s">
        <v>72</v>
      </c>
      <c r="E21" s="5" t="s">
        <v>73</v>
      </c>
    </row>
    <row r="22" spans="1:8" ht="28.05" customHeight="1" x14ac:dyDescent="0.3">
      <c r="A22" s="17" t="s">
        <v>74</v>
      </c>
      <c r="B22" s="18" t="s">
        <v>75</v>
      </c>
      <c r="C22" s="10" t="s">
        <v>76</v>
      </c>
      <c r="D22" s="9" t="s">
        <v>77</v>
      </c>
      <c r="E22" s="9" t="s">
        <v>78</v>
      </c>
    </row>
    <row r="23" spans="1:8" ht="28.05" customHeight="1" x14ac:dyDescent="0.3">
      <c r="A23" s="19" t="s">
        <v>79</v>
      </c>
      <c r="B23" s="20" t="s">
        <v>80</v>
      </c>
      <c r="C23" s="6" t="s">
        <v>81</v>
      </c>
      <c r="D23" s="5" t="s">
        <v>82</v>
      </c>
      <c r="E23" s="5" t="s">
        <v>83</v>
      </c>
    </row>
    <row r="24" spans="1:8" ht="28.05" customHeight="1" x14ac:dyDescent="0.3">
      <c r="A24" s="21" t="s">
        <v>84</v>
      </c>
      <c r="B24" s="22" t="s">
        <v>85</v>
      </c>
      <c r="C24" s="10" t="s">
        <v>86</v>
      </c>
      <c r="D24" s="9" t="s">
        <v>87</v>
      </c>
      <c r="E24" s="9" t="s">
        <v>88</v>
      </c>
    </row>
    <row r="26" spans="1:8" ht="22.05" customHeight="1" x14ac:dyDescent="0.3">
      <c r="A26" s="95" t="s">
        <v>89</v>
      </c>
      <c r="B26" s="96"/>
      <c r="C26" s="96"/>
      <c r="D26" s="96"/>
      <c r="E26" s="96"/>
      <c r="F26" s="96"/>
      <c r="G26" s="96"/>
      <c r="H26" s="97"/>
    </row>
    <row r="27" spans="1:8" ht="30" customHeight="1" x14ac:dyDescent="0.3">
      <c r="A27" s="3" t="s">
        <v>90</v>
      </c>
      <c r="B27" s="3" t="s">
        <v>91</v>
      </c>
      <c r="C27" s="3" t="s">
        <v>92</v>
      </c>
      <c r="D27" s="3" t="s">
        <v>93</v>
      </c>
      <c r="E27" s="3" t="s">
        <v>94</v>
      </c>
      <c r="F27" s="3"/>
      <c r="G27" s="3"/>
      <c r="H27" s="3"/>
    </row>
    <row r="28" spans="1:8" ht="22.05" customHeight="1" x14ac:dyDescent="0.3">
      <c r="A28" s="5" t="s">
        <v>95</v>
      </c>
      <c r="B28" s="4" t="s">
        <v>96</v>
      </c>
      <c r="C28" s="6" t="s">
        <v>97</v>
      </c>
      <c r="D28" s="6" t="s">
        <v>34</v>
      </c>
      <c r="E28" s="6" t="s">
        <v>37</v>
      </c>
    </row>
    <row r="29" spans="1:8" ht="22.05" customHeight="1" x14ac:dyDescent="0.3">
      <c r="A29" s="9" t="s">
        <v>98</v>
      </c>
      <c r="B29" s="8" t="s">
        <v>99</v>
      </c>
      <c r="C29" s="10" t="s">
        <v>100</v>
      </c>
      <c r="D29" s="10" t="s">
        <v>37</v>
      </c>
      <c r="E29" s="10" t="s">
        <v>40</v>
      </c>
    </row>
    <row r="30" spans="1:8" ht="22.05" customHeight="1" x14ac:dyDescent="0.3">
      <c r="A30" s="5" t="s">
        <v>101</v>
      </c>
      <c r="B30" s="4" t="s">
        <v>102</v>
      </c>
      <c r="C30" s="6" t="s">
        <v>103</v>
      </c>
      <c r="D30" s="6" t="s">
        <v>40</v>
      </c>
      <c r="E30" s="6" t="s">
        <v>40</v>
      </c>
    </row>
    <row r="31" spans="1:8" ht="22.05" customHeight="1" x14ac:dyDescent="0.3">
      <c r="A31" s="9" t="s">
        <v>104</v>
      </c>
      <c r="B31" s="8" t="s">
        <v>102</v>
      </c>
      <c r="C31" s="10" t="s">
        <v>105</v>
      </c>
      <c r="D31" s="10" t="s">
        <v>30</v>
      </c>
      <c r="E31" s="10" t="s">
        <v>34</v>
      </c>
    </row>
    <row r="32" spans="1:8" ht="22.05" customHeight="1" x14ac:dyDescent="0.3">
      <c r="A32" s="5" t="s">
        <v>106</v>
      </c>
      <c r="B32" s="4" t="s">
        <v>107</v>
      </c>
      <c r="C32" s="6" t="s">
        <v>108</v>
      </c>
      <c r="D32" s="6" t="s">
        <v>37</v>
      </c>
      <c r="E32" s="6" t="s">
        <v>37</v>
      </c>
    </row>
    <row r="33" spans="1:8" ht="22.05" customHeight="1" x14ac:dyDescent="0.3">
      <c r="A33" s="9" t="s">
        <v>109</v>
      </c>
      <c r="B33" s="8" t="s">
        <v>107</v>
      </c>
      <c r="C33" s="10" t="s">
        <v>110</v>
      </c>
      <c r="D33" s="10" t="s">
        <v>40</v>
      </c>
      <c r="E33" s="10" t="s">
        <v>34</v>
      </c>
    </row>
    <row r="34" spans="1:8" ht="22.05" customHeight="1" x14ac:dyDescent="0.3">
      <c r="A34" s="5" t="s">
        <v>111</v>
      </c>
      <c r="B34" s="4" t="s">
        <v>112</v>
      </c>
      <c r="C34" s="6" t="s">
        <v>113</v>
      </c>
      <c r="D34" s="6" t="s">
        <v>114</v>
      </c>
      <c r="E34" s="6" t="s">
        <v>114</v>
      </c>
    </row>
    <row r="36" spans="1:8" ht="30" customHeight="1" x14ac:dyDescent="0.3">
      <c r="A36" s="98" t="s">
        <v>115</v>
      </c>
      <c r="B36" s="99"/>
      <c r="C36" s="99"/>
      <c r="D36" s="99"/>
      <c r="E36" s="99"/>
      <c r="F36" s="99"/>
      <c r="G36" s="99"/>
      <c r="H36" s="100"/>
    </row>
  </sheetData>
  <mergeCells count="6">
    <mergeCell ref="A1:H1"/>
    <mergeCell ref="A26:H26"/>
    <mergeCell ref="A3:H3"/>
    <mergeCell ref="A36:H36"/>
    <mergeCell ref="A11:H11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0006"/>
  </sheetPr>
  <dimension ref="A1:L18"/>
  <sheetViews>
    <sheetView showGridLines="0" workbookViewId="0">
      <pane ySplit="3" topLeftCell="A7" activePane="bottomLeft" state="frozen"/>
      <selection pane="bottomLeft" sqref="A1:L1"/>
    </sheetView>
  </sheetViews>
  <sheetFormatPr defaultRowHeight="14.4" x14ac:dyDescent="0.3"/>
  <cols>
    <col min="1" max="1" width="5" customWidth="1"/>
    <col min="2" max="2" width="32" customWidth="1"/>
    <col min="3" max="3" width="22" customWidth="1"/>
    <col min="4" max="4" width="28" customWidth="1"/>
    <col min="5" max="7" width="12" customWidth="1"/>
    <col min="8" max="8" width="14" customWidth="1"/>
    <col min="9" max="10" width="26" customWidth="1"/>
    <col min="11" max="12" width="18" customWidth="1"/>
  </cols>
  <sheetData>
    <row r="1" spans="1:12" ht="28.05" customHeight="1" x14ac:dyDescent="0.3">
      <c r="A1" s="101" t="s">
        <v>116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ht="19.95" customHeight="1" x14ac:dyDescent="0.3">
      <c r="A2" s="102" t="s">
        <v>117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ht="36" customHeight="1" x14ac:dyDescent="0.3">
      <c r="A3" s="23" t="s">
        <v>118</v>
      </c>
      <c r="B3" s="23" t="s">
        <v>119</v>
      </c>
      <c r="C3" s="23" t="s">
        <v>90</v>
      </c>
      <c r="D3" s="23" t="s">
        <v>120</v>
      </c>
      <c r="E3" s="23" t="s">
        <v>121</v>
      </c>
      <c r="F3" s="23" t="s">
        <v>122</v>
      </c>
      <c r="G3" s="23" t="s">
        <v>123</v>
      </c>
      <c r="H3" s="23" t="s">
        <v>124</v>
      </c>
      <c r="I3" s="23" t="s">
        <v>125</v>
      </c>
      <c r="J3" s="23" t="s">
        <v>126</v>
      </c>
      <c r="K3" s="23" t="s">
        <v>127</v>
      </c>
      <c r="L3" s="23" t="s">
        <v>67</v>
      </c>
    </row>
    <row r="4" spans="1:12" ht="36" customHeight="1" x14ac:dyDescent="0.3">
      <c r="A4" s="24">
        <v>1</v>
      </c>
      <c r="B4" s="5" t="s">
        <v>128</v>
      </c>
      <c r="C4" s="5" t="s">
        <v>129</v>
      </c>
      <c r="D4" s="5" t="s">
        <v>130</v>
      </c>
      <c r="E4" s="4">
        <v>5</v>
      </c>
      <c r="F4" s="4">
        <v>5</v>
      </c>
      <c r="G4" s="24">
        <f t="shared" ref="G4:G18" si="0">E4*F4</f>
        <v>25</v>
      </c>
      <c r="H4" s="24" t="str">
        <f t="shared" ref="H4:H18" si="1">IF(G4&gt;=17,"CRÍTICO",IF(G4&gt;=10,"ALTO",IF(G4&gt;=5,"MEDIO","BAJO")))</f>
        <v>CRÍTICO</v>
      </c>
      <c r="I4" s="6" t="s">
        <v>131</v>
      </c>
      <c r="J4" s="6" t="s">
        <v>132</v>
      </c>
      <c r="K4" s="6" t="s">
        <v>133</v>
      </c>
      <c r="L4" s="5" t="s">
        <v>134</v>
      </c>
    </row>
    <row r="5" spans="1:12" ht="36" customHeight="1" x14ac:dyDescent="0.3">
      <c r="A5" s="25">
        <v>2</v>
      </c>
      <c r="B5" s="9" t="s">
        <v>135</v>
      </c>
      <c r="C5" s="9" t="s">
        <v>129</v>
      </c>
      <c r="D5" s="9" t="s">
        <v>136</v>
      </c>
      <c r="E5" s="8">
        <v>4</v>
      </c>
      <c r="F5" s="8">
        <v>4</v>
      </c>
      <c r="G5" s="25">
        <f t="shared" si="0"/>
        <v>16</v>
      </c>
      <c r="H5" s="25" t="str">
        <f t="shared" si="1"/>
        <v>ALTO</v>
      </c>
      <c r="I5" s="10" t="s">
        <v>137</v>
      </c>
      <c r="J5" s="10" t="s">
        <v>138</v>
      </c>
      <c r="K5" s="10" t="s">
        <v>139</v>
      </c>
      <c r="L5" s="9" t="s">
        <v>140</v>
      </c>
    </row>
    <row r="6" spans="1:12" ht="36" customHeight="1" x14ac:dyDescent="0.3">
      <c r="A6" s="24">
        <v>3</v>
      </c>
      <c r="B6" s="5" t="s">
        <v>141</v>
      </c>
      <c r="C6" s="5" t="s">
        <v>98</v>
      </c>
      <c r="D6" s="5" t="s">
        <v>142</v>
      </c>
      <c r="E6" s="4">
        <v>4</v>
      </c>
      <c r="F6" s="4">
        <v>5</v>
      </c>
      <c r="G6" s="24">
        <f t="shared" si="0"/>
        <v>20</v>
      </c>
      <c r="H6" s="24" t="str">
        <f t="shared" si="1"/>
        <v>CRÍTICO</v>
      </c>
      <c r="I6" s="6" t="s">
        <v>143</v>
      </c>
      <c r="J6" s="6" t="s">
        <v>144</v>
      </c>
      <c r="K6" s="6" t="s">
        <v>145</v>
      </c>
      <c r="L6" s="5" t="s">
        <v>146</v>
      </c>
    </row>
    <row r="7" spans="1:12" ht="36" customHeight="1" x14ac:dyDescent="0.3">
      <c r="A7" s="25">
        <v>4</v>
      </c>
      <c r="B7" s="9" t="s">
        <v>147</v>
      </c>
      <c r="C7" s="9" t="s">
        <v>106</v>
      </c>
      <c r="D7" s="9" t="s">
        <v>148</v>
      </c>
      <c r="E7" s="8">
        <v>5</v>
      </c>
      <c r="F7" s="8">
        <v>4</v>
      </c>
      <c r="G7" s="25">
        <f t="shared" si="0"/>
        <v>20</v>
      </c>
      <c r="H7" s="25" t="str">
        <f t="shared" si="1"/>
        <v>CRÍTICO</v>
      </c>
      <c r="I7" s="10" t="s">
        <v>149</v>
      </c>
      <c r="J7" s="10" t="s">
        <v>150</v>
      </c>
      <c r="K7" s="10" t="s">
        <v>151</v>
      </c>
      <c r="L7" s="9" t="s">
        <v>152</v>
      </c>
    </row>
    <row r="8" spans="1:12" ht="36" customHeight="1" x14ac:dyDescent="0.3">
      <c r="A8" s="24">
        <v>5</v>
      </c>
      <c r="B8" s="5" t="s">
        <v>153</v>
      </c>
      <c r="C8" s="5" t="s">
        <v>101</v>
      </c>
      <c r="D8" s="5" t="s">
        <v>154</v>
      </c>
      <c r="E8" s="4">
        <v>2</v>
      </c>
      <c r="F8" s="4">
        <v>4</v>
      </c>
      <c r="G8" s="24">
        <f t="shared" si="0"/>
        <v>8</v>
      </c>
      <c r="H8" s="24" t="str">
        <f t="shared" si="1"/>
        <v>MEDIO</v>
      </c>
      <c r="I8" s="6" t="s">
        <v>155</v>
      </c>
      <c r="J8" s="6" t="s">
        <v>156</v>
      </c>
      <c r="K8" s="6" t="s">
        <v>157</v>
      </c>
      <c r="L8" s="5" t="s">
        <v>158</v>
      </c>
    </row>
    <row r="9" spans="1:12" ht="36" customHeight="1" x14ac:dyDescent="0.3">
      <c r="A9" s="25">
        <v>6</v>
      </c>
      <c r="B9" s="9" t="s">
        <v>159</v>
      </c>
      <c r="C9" s="9" t="s">
        <v>160</v>
      </c>
      <c r="D9" s="9" t="s">
        <v>161</v>
      </c>
      <c r="E9" s="8">
        <v>3</v>
      </c>
      <c r="F9" s="8">
        <v>5</v>
      </c>
      <c r="G9" s="25">
        <f t="shared" si="0"/>
        <v>15</v>
      </c>
      <c r="H9" s="25" t="str">
        <f t="shared" si="1"/>
        <v>ALTO</v>
      </c>
      <c r="I9" s="10" t="s">
        <v>162</v>
      </c>
      <c r="J9" s="10" t="s">
        <v>163</v>
      </c>
      <c r="K9" s="10" t="s">
        <v>164</v>
      </c>
      <c r="L9" s="9" t="s">
        <v>165</v>
      </c>
    </row>
    <row r="10" spans="1:12" ht="36" customHeight="1" x14ac:dyDescent="0.3">
      <c r="A10" s="24">
        <v>7</v>
      </c>
      <c r="B10" s="5" t="s">
        <v>166</v>
      </c>
      <c r="C10" s="5" t="s">
        <v>98</v>
      </c>
      <c r="D10" s="5" t="s">
        <v>167</v>
      </c>
      <c r="E10" s="4">
        <v>3</v>
      </c>
      <c r="F10" s="4">
        <v>4</v>
      </c>
      <c r="G10" s="24">
        <f t="shared" si="0"/>
        <v>12</v>
      </c>
      <c r="H10" s="24" t="str">
        <f t="shared" si="1"/>
        <v>ALTO</v>
      </c>
      <c r="I10" s="6" t="s">
        <v>168</v>
      </c>
      <c r="J10" s="6" t="s">
        <v>169</v>
      </c>
      <c r="K10" s="6" t="s">
        <v>170</v>
      </c>
      <c r="L10" s="5" t="s">
        <v>171</v>
      </c>
    </row>
    <row r="11" spans="1:12" ht="36" customHeight="1" x14ac:dyDescent="0.3">
      <c r="A11" s="25">
        <v>8</v>
      </c>
      <c r="B11" s="9" t="s">
        <v>172</v>
      </c>
      <c r="C11" s="9" t="s">
        <v>129</v>
      </c>
      <c r="D11" s="9" t="s">
        <v>171</v>
      </c>
      <c r="E11" s="8">
        <v>3</v>
      </c>
      <c r="F11" s="8">
        <v>4</v>
      </c>
      <c r="G11" s="25">
        <f t="shared" si="0"/>
        <v>12</v>
      </c>
      <c r="H11" s="25" t="str">
        <f t="shared" si="1"/>
        <v>ALTO</v>
      </c>
      <c r="I11" s="10" t="s">
        <v>173</v>
      </c>
      <c r="J11" s="10" t="s">
        <v>174</v>
      </c>
      <c r="K11" s="10" t="s">
        <v>175</v>
      </c>
      <c r="L11" s="9" t="s">
        <v>176</v>
      </c>
    </row>
    <row r="12" spans="1:12" ht="36" customHeight="1" x14ac:dyDescent="0.3">
      <c r="A12" s="24">
        <v>9</v>
      </c>
      <c r="B12" s="5" t="s">
        <v>177</v>
      </c>
      <c r="C12" s="5" t="s">
        <v>178</v>
      </c>
      <c r="D12" s="5" t="s">
        <v>179</v>
      </c>
      <c r="E12" s="4">
        <v>2</v>
      </c>
      <c r="F12" s="4">
        <v>4</v>
      </c>
      <c r="G12" s="24">
        <f t="shared" si="0"/>
        <v>8</v>
      </c>
      <c r="H12" s="24" t="str">
        <f t="shared" si="1"/>
        <v>MEDIO</v>
      </c>
      <c r="I12" s="6" t="s">
        <v>180</v>
      </c>
      <c r="J12" s="6" t="s">
        <v>181</v>
      </c>
      <c r="K12" s="6" t="s">
        <v>182</v>
      </c>
      <c r="L12" s="5" t="s">
        <v>183</v>
      </c>
    </row>
    <row r="13" spans="1:12" ht="36" customHeight="1" x14ac:dyDescent="0.3">
      <c r="A13" s="25">
        <v>10</v>
      </c>
      <c r="B13" s="9" t="s">
        <v>184</v>
      </c>
      <c r="C13" s="9" t="s">
        <v>129</v>
      </c>
      <c r="D13" s="9" t="s">
        <v>185</v>
      </c>
      <c r="E13" s="8">
        <v>3</v>
      </c>
      <c r="F13" s="8">
        <v>3</v>
      </c>
      <c r="G13" s="25">
        <f t="shared" si="0"/>
        <v>9</v>
      </c>
      <c r="H13" s="25" t="str">
        <f t="shared" si="1"/>
        <v>MEDIO</v>
      </c>
      <c r="I13" s="10" t="s">
        <v>186</v>
      </c>
      <c r="J13" s="10" t="s">
        <v>187</v>
      </c>
      <c r="K13" s="10" t="s">
        <v>188</v>
      </c>
      <c r="L13" s="9" t="s">
        <v>189</v>
      </c>
    </row>
    <row r="14" spans="1:12" ht="36" customHeight="1" x14ac:dyDescent="0.3">
      <c r="A14" s="24">
        <v>11</v>
      </c>
      <c r="B14" s="5" t="s">
        <v>190</v>
      </c>
      <c r="C14" s="5" t="s">
        <v>106</v>
      </c>
      <c r="D14" s="5" t="s">
        <v>191</v>
      </c>
      <c r="E14" s="4">
        <v>2</v>
      </c>
      <c r="F14" s="4">
        <v>3</v>
      </c>
      <c r="G14" s="24">
        <f t="shared" si="0"/>
        <v>6</v>
      </c>
      <c r="H14" s="24" t="str">
        <f t="shared" si="1"/>
        <v>MEDIO</v>
      </c>
      <c r="I14" s="6" t="s">
        <v>192</v>
      </c>
      <c r="J14" s="6" t="s">
        <v>193</v>
      </c>
      <c r="K14" s="6" t="s">
        <v>194</v>
      </c>
      <c r="L14" s="5" t="s">
        <v>195</v>
      </c>
    </row>
    <row r="15" spans="1:12" ht="36" customHeight="1" x14ac:dyDescent="0.3">
      <c r="A15" s="25">
        <v>12</v>
      </c>
      <c r="B15" s="9" t="s">
        <v>196</v>
      </c>
      <c r="C15" s="9" t="s">
        <v>129</v>
      </c>
      <c r="D15" s="9" t="s">
        <v>197</v>
      </c>
      <c r="E15" s="8">
        <v>1</v>
      </c>
      <c r="F15" s="8">
        <v>2</v>
      </c>
      <c r="G15" s="25">
        <f t="shared" si="0"/>
        <v>2</v>
      </c>
      <c r="H15" s="25" t="str">
        <f t="shared" si="1"/>
        <v>BAJO</v>
      </c>
      <c r="I15" s="10" t="s">
        <v>198</v>
      </c>
      <c r="J15" s="10" t="s">
        <v>199</v>
      </c>
      <c r="K15" s="10" t="s">
        <v>200</v>
      </c>
      <c r="L15" s="9" t="s">
        <v>197</v>
      </c>
    </row>
    <row r="16" spans="1:12" ht="36" customHeight="1" x14ac:dyDescent="0.3">
      <c r="A16" s="24">
        <v>13</v>
      </c>
      <c r="B16" s="5" t="s">
        <v>201</v>
      </c>
      <c r="C16" s="5" t="s">
        <v>98</v>
      </c>
      <c r="D16" s="5" t="s">
        <v>202</v>
      </c>
      <c r="E16" s="4">
        <v>2</v>
      </c>
      <c r="F16" s="4">
        <v>5</v>
      </c>
      <c r="G16" s="24">
        <f t="shared" si="0"/>
        <v>10</v>
      </c>
      <c r="H16" s="24" t="str">
        <f t="shared" si="1"/>
        <v>ALTO</v>
      </c>
      <c r="I16" s="6" t="s">
        <v>203</v>
      </c>
      <c r="J16" s="6" t="s">
        <v>204</v>
      </c>
      <c r="K16" s="6" t="s">
        <v>205</v>
      </c>
      <c r="L16" s="5" t="s">
        <v>146</v>
      </c>
    </row>
    <row r="17" spans="1:12" ht="36" customHeight="1" x14ac:dyDescent="0.3">
      <c r="A17" s="25">
        <v>14</v>
      </c>
      <c r="B17" s="9" t="s">
        <v>206</v>
      </c>
      <c r="C17" s="9" t="s">
        <v>178</v>
      </c>
      <c r="D17" s="9" t="s">
        <v>207</v>
      </c>
      <c r="E17" s="8">
        <v>2</v>
      </c>
      <c r="F17" s="8">
        <v>5</v>
      </c>
      <c r="G17" s="25">
        <f t="shared" si="0"/>
        <v>10</v>
      </c>
      <c r="H17" s="25" t="str">
        <f t="shared" si="1"/>
        <v>ALTO</v>
      </c>
      <c r="I17" s="10" t="s">
        <v>208</v>
      </c>
      <c r="J17" s="10" t="s">
        <v>209</v>
      </c>
      <c r="K17" s="10" t="s">
        <v>210</v>
      </c>
      <c r="L17" s="9" t="s">
        <v>211</v>
      </c>
    </row>
    <row r="18" spans="1:12" ht="36" customHeight="1" x14ac:dyDescent="0.3">
      <c r="A18" s="24">
        <v>15</v>
      </c>
      <c r="B18" s="5" t="s">
        <v>212</v>
      </c>
      <c r="C18" s="5" t="s">
        <v>129</v>
      </c>
      <c r="D18" s="5" t="s">
        <v>213</v>
      </c>
      <c r="E18" s="4">
        <v>3</v>
      </c>
      <c r="F18" s="4">
        <v>2</v>
      </c>
      <c r="G18" s="24">
        <f t="shared" si="0"/>
        <v>6</v>
      </c>
      <c r="H18" s="24" t="str">
        <f t="shared" si="1"/>
        <v>MEDIO</v>
      </c>
      <c r="I18" s="6" t="s">
        <v>214</v>
      </c>
      <c r="J18" s="6" t="s">
        <v>215</v>
      </c>
      <c r="K18" s="6" t="s">
        <v>216</v>
      </c>
      <c r="L18" s="5" t="s">
        <v>217</v>
      </c>
    </row>
  </sheetData>
  <mergeCells count="2">
    <mergeCell ref="A2:L2"/>
    <mergeCell ref="A1:L1"/>
  </mergeCells>
  <conditionalFormatting sqref="G4:G18">
    <cfRule type="cellIs" dxfId="16" priority="1" operator="greaterThanOrEqual">
      <formula>17</formula>
    </cfRule>
    <cfRule type="cellIs" dxfId="15" priority="2" operator="between">
      <formula>10</formula>
      <formula>16</formula>
    </cfRule>
    <cfRule type="cellIs" dxfId="14" priority="3" operator="between">
      <formula>5</formula>
      <formula>9</formula>
    </cfRule>
    <cfRule type="cellIs" dxfId="13" priority="4" operator="lessThan">
      <formula>5</formula>
    </cfRule>
  </conditionalFormatting>
  <conditionalFormatting sqref="H4:H18">
    <cfRule type="cellIs" dxfId="12" priority="5" operator="equal">
      <formula>"CRÍTICO"</formula>
    </cfRule>
    <cfRule type="cellIs" dxfId="11" priority="6" operator="equal">
      <formula>"ALTO"</formula>
    </cfRule>
    <cfRule type="cellIs" dxfId="10" priority="7" operator="equal">
      <formula>"MEDIO"</formula>
    </cfRule>
    <cfRule type="cellIs" dxfId="9" priority="8" operator="equal">
      <formula>"BAJO"</formula>
    </cfRule>
  </conditionalFormatting>
  <dataValidations count="1">
    <dataValidation type="list" allowBlank="1" showErrorMessage="1" errorTitle="Entrada inválida" error="Valor no permitido" sqref="E4:F18" xr:uid="{00000000-0002-0000-0200-000000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4B4A"/>
  </sheetPr>
  <dimension ref="A1:J16"/>
  <sheetViews>
    <sheetView showGridLines="0" workbookViewId="0">
      <selection sqref="A1:J1"/>
    </sheetView>
  </sheetViews>
  <sheetFormatPr defaultRowHeight="14.4" x14ac:dyDescent="0.3"/>
  <cols>
    <col min="1" max="1" width="4" customWidth="1"/>
    <col min="2" max="2" width="6" customWidth="1"/>
    <col min="3" max="7" width="16" customWidth="1"/>
    <col min="8" max="8" width="4" customWidth="1"/>
    <col min="9" max="10" width="26" customWidth="1"/>
  </cols>
  <sheetData>
    <row r="1" spans="1:10" ht="28.05" customHeight="1" x14ac:dyDescent="0.3">
      <c r="A1" s="101" t="s">
        <v>218</v>
      </c>
      <c r="B1" s="87"/>
      <c r="C1" s="87"/>
      <c r="D1" s="87"/>
      <c r="E1" s="87"/>
      <c r="F1" s="87"/>
      <c r="G1" s="87"/>
      <c r="H1" s="87"/>
      <c r="I1" s="87"/>
      <c r="J1" s="87"/>
    </row>
    <row r="3" spans="1:10" x14ac:dyDescent="0.3">
      <c r="C3" s="103" t="s">
        <v>219</v>
      </c>
      <c r="D3" s="87"/>
      <c r="E3" s="87"/>
      <c r="F3" s="87"/>
      <c r="G3" s="87"/>
    </row>
    <row r="4" spans="1:10" ht="36" customHeight="1" x14ac:dyDescent="0.3">
      <c r="C4" s="3" t="s">
        <v>220</v>
      </c>
      <c r="D4" s="3" t="s">
        <v>221</v>
      </c>
      <c r="E4" s="3" t="s">
        <v>222</v>
      </c>
      <c r="F4" s="3" t="s">
        <v>223</v>
      </c>
      <c r="G4" s="3" t="s">
        <v>224</v>
      </c>
      <c r="I4" s="103" t="s">
        <v>225</v>
      </c>
      <c r="J4" s="87"/>
    </row>
    <row r="5" spans="1:10" ht="48" customHeight="1" x14ac:dyDescent="0.3">
      <c r="A5" s="26" t="s">
        <v>226</v>
      </c>
      <c r="B5" s="105" t="s">
        <v>227</v>
      </c>
      <c r="C5" s="27" t="s">
        <v>228</v>
      </c>
      <c r="D5" s="28" t="s">
        <v>229</v>
      </c>
      <c r="E5" s="28" t="s">
        <v>230</v>
      </c>
      <c r="F5" s="29" t="s">
        <v>231</v>
      </c>
      <c r="G5" s="29" t="s">
        <v>232</v>
      </c>
      <c r="I5" s="30" t="s">
        <v>233</v>
      </c>
      <c r="J5" s="31" t="s">
        <v>234</v>
      </c>
    </row>
    <row r="6" spans="1:10" ht="48" customHeight="1" x14ac:dyDescent="0.3">
      <c r="A6" s="26" t="s">
        <v>235</v>
      </c>
      <c r="B6" s="87"/>
      <c r="C6" s="32" t="s">
        <v>236</v>
      </c>
      <c r="D6" s="27" t="s">
        <v>237</v>
      </c>
      <c r="E6" s="28" t="s">
        <v>238</v>
      </c>
      <c r="F6" s="28" t="s">
        <v>239</v>
      </c>
      <c r="G6" s="29" t="s">
        <v>231</v>
      </c>
      <c r="I6" s="33" t="s">
        <v>240</v>
      </c>
      <c r="J6" s="31" t="s">
        <v>241</v>
      </c>
    </row>
    <row r="7" spans="1:10" ht="48" customHeight="1" x14ac:dyDescent="0.3">
      <c r="A7" s="26" t="s">
        <v>242</v>
      </c>
      <c r="B7" s="87"/>
      <c r="C7" s="32" t="s">
        <v>243</v>
      </c>
      <c r="D7" s="27" t="s">
        <v>244</v>
      </c>
      <c r="E7" s="27" t="s">
        <v>245</v>
      </c>
      <c r="F7" s="28" t="s">
        <v>238</v>
      </c>
      <c r="G7" s="28" t="s">
        <v>230</v>
      </c>
      <c r="I7" s="34" t="s">
        <v>246</v>
      </c>
      <c r="J7" s="31" t="s">
        <v>247</v>
      </c>
    </row>
    <row r="8" spans="1:10" ht="48" customHeight="1" x14ac:dyDescent="0.3">
      <c r="A8" s="26" t="s">
        <v>248</v>
      </c>
      <c r="B8" s="87"/>
      <c r="C8" s="32" t="s">
        <v>249</v>
      </c>
      <c r="D8" s="32" t="s">
        <v>236</v>
      </c>
      <c r="E8" s="27" t="s">
        <v>244</v>
      </c>
      <c r="F8" s="27" t="s">
        <v>237</v>
      </c>
      <c r="G8" s="28" t="s">
        <v>229</v>
      </c>
      <c r="I8" s="35" t="s">
        <v>250</v>
      </c>
      <c r="J8" s="31" t="s">
        <v>251</v>
      </c>
    </row>
    <row r="9" spans="1:10" ht="48" customHeight="1" x14ac:dyDescent="0.3">
      <c r="A9" s="26" t="s">
        <v>252</v>
      </c>
      <c r="B9" s="87"/>
      <c r="C9" s="32" t="s">
        <v>253</v>
      </c>
      <c r="D9" s="32" t="s">
        <v>249</v>
      </c>
      <c r="E9" s="32" t="s">
        <v>243</v>
      </c>
      <c r="F9" s="32" t="s">
        <v>236</v>
      </c>
      <c r="G9" s="27" t="s">
        <v>228</v>
      </c>
    </row>
    <row r="11" spans="1:10" x14ac:dyDescent="0.3">
      <c r="I11" s="104" t="s">
        <v>254</v>
      </c>
      <c r="J11" s="87"/>
    </row>
    <row r="12" spans="1:10" ht="18" customHeight="1" x14ac:dyDescent="0.3">
      <c r="I12" s="36" t="s">
        <v>25</v>
      </c>
      <c r="J12" s="36" t="s">
        <v>255</v>
      </c>
    </row>
    <row r="13" spans="1:10" ht="18" customHeight="1" x14ac:dyDescent="0.3">
      <c r="I13" s="37" t="s">
        <v>70</v>
      </c>
      <c r="J13" s="38">
        <v>3</v>
      </c>
    </row>
    <row r="14" spans="1:10" ht="18" customHeight="1" x14ac:dyDescent="0.3">
      <c r="I14" s="39" t="s">
        <v>75</v>
      </c>
      <c r="J14" s="38">
        <v>6</v>
      </c>
    </row>
    <row r="15" spans="1:10" ht="18" customHeight="1" x14ac:dyDescent="0.3">
      <c r="I15" s="40" t="s">
        <v>80</v>
      </c>
      <c r="J15" s="38">
        <v>5</v>
      </c>
    </row>
    <row r="16" spans="1:10" ht="18" customHeight="1" x14ac:dyDescent="0.3">
      <c r="I16" s="41" t="s">
        <v>85</v>
      </c>
      <c r="J16" s="38">
        <v>1</v>
      </c>
    </row>
  </sheetData>
  <mergeCells count="5">
    <mergeCell ref="A1:J1"/>
    <mergeCell ref="I4:J4"/>
    <mergeCell ref="I11:J11"/>
    <mergeCell ref="B5:B9"/>
    <mergeCell ref="C3:G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A7517"/>
  </sheetPr>
  <dimension ref="A1:I37"/>
  <sheetViews>
    <sheetView showGridLines="0" workbookViewId="0">
      <selection activeCell="F25" sqref="F25"/>
    </sheetView>
  </sheetViews>
  <sheetFormatPr defaultRowHeight="14.4" x14ac:dyDescent="0.3"/>
  <cols>
    <col min="1" max="1" width="29.88671875" bestFit="1" customWidth="1"/>
    <col min="2" max="2" width="32" style="116" customWidth="1"/>
    <col min="3" max="3" width="12" style="116" customWidth="1"/>
    <col min="4" max="5" width="12" customWidth="1"/>
    <col min="6" max="7" width="16" customWidth="1"/>
    <col min="8" max="8" width="4" customWidth="1"/>
    <col min="9" max="9" width="20" customWidth="1"/>
  </cols>
  <sheetData>
    <row r="1" spans="1:9" ht="28.05" customHeight="1" x14ac:dyDescent="0.3">
      <c r="A1" s="101" t="s">
        <v>256</v>
      </c>
      <c r="B1" s="87"/>
      <c r="C1" s="87"/>
      <c r="D1" s="87"/>
      <c r="E1" s="87"/>
      <c r="F1" s="87"/>
      <c r="G1" s="87"/>
      <c r="H1" s="87"/>
      <c r="I1" s="87"/>
    </row>
    <row r="2" spans="1:9" ht="24" customHeight="1" x14ac:dyDescent="0.3">
      <c r="A2" s="106" t="s">
        <v>257</v>
      </c>
      <c r="B2" s="87"/>
      <c r="C2" s="87"/>
      <c r="D2" s="87"/>
      <c r="E2" s="87"/>
      <c r="F2" s="87"/>
      <c r="G2" s="87"/>
      <c r="H2" s="87"/>
      <c r="I2" s="87"/>
    </row>
    <row r="3" spans="1:9" ht="36" customHeight="1" x14ac:dyDescent="0.3">
      <c r="A3" s="23" t="s">
        <v>118</v>
      </c>
      <c r="B3" s="23" t="s">
        <v>119</v>
      </c>
      <c r="C3" s="23" t="s">
        <v>121</v>
      </c>
      <c r="D3" s="23" t="s">
        <v>122</v>
      </c>
      <c r="E3" s="23" t="s">
        <v>65</v>
      </c>
      <c r="F3" s="23" t="s">
        <v>258</v>
      </c>
      <c r="G3" s="23" t="s">
        <v>259</v>
      </c>
      <c r="H3" s="23"/>
      <c r="I3" s="23" t="s">
        <v>260</v>
      </c>
    </row>
    <row r="4" spans="1:9" ht="28.05" customHeight="1" x14ac:dyDescent="0.3">
      <c r="A4" s="24">
        <v>1</v>
      </c>
      <c r="B4" s="24" t="s">
        <v>128</v>
      </c>
      <c r="C4" s="24">
        <v>5</v>
      </c>
      <c r="D4" s="24">
        <v>5</v>
      </c>
      <c r="E4" s="42">
        <f t="shared" ref="E4:E18" si="0">C4*D4</f>
        <v>25</v>
      </c>
      <c r="F4" s="24">
        <v>25</v>
      </c>
      <c r="G4" s="43">
        <f t="shared" ref="G4:G18" si="1">F4/179</f>
        <v>0.13966480446927373</v>
      </c>
      <c r="H4" s="6"/>
      <c r="I4" s="44" t="s">
        <v>261</v>
      </c>
    </row>
    <row r="5" spans="1:9" ht="28.05" customHeight="1" x14ac:dyDescent="0.3">
      <c r="A5" s="25">
        <v>2</v>
      </c>
      <c r="B5" s="25" t="s">
        <v>141</v>
      </c>
      <c r="C5" s="25">
        <v>4</v>
      </c>
      <c r="D5" s="25">
        <v>5</v>
      </c>
      <c r="E5" s="42">
        <f t="shared" si="0"/>
        <v>20</v>
      </c>
      <c r="F5" s="25">
        <v>45</v>
      </c>
      <c r="G5" s="45">
        <f t="shared" si="1"/>
        <v>0.25139664804469275</v>
      </c>
      <c r="H5" s="10"/>
      <c r="I5" s="46" t="s">
        <v>261</v>
      </c>
    </row>
    <row r="6" spans="1:9" ht="28.05" customHeight="1" x14ac:dyDescent="0.3">
      <c r="A6" s="24">
        <v>3</v>
      </c>
      <c r="B6" s="24" t="s">
        <v>147</v>
      </c>
      <c r="C6" s="24">
        <v>5</v>
      </c>
      <c r="D6" s="24">
        <v>4</v>
      </c>
      <c r="E6" s="42">
        <f t="shared" si="0"/>
        <v>20</v>
      </c>
      <c r="F6" s="24">
        <v>65</v>
      </c>
      <c r="G6" s="43">
        <f t="shared" si="1"/>
        <v>0.36312849162011174</v>
      </c>
      <c r="H6" s="6"/>
      <c r="I6" s="44" t="s">
        <v>261</v>
      </c>
    </row>
    <row r="7" spans="1:9" ht="28.05" customHeight="1" x14ac:dyDescent="0.3">
      <c r="A7" s="25">
        <v>4</v>
      </c>
      <c r="B7" s="25" t="s">
        <v>135</v>
      </c>
      <c r="C7" s="25">
        <v>4</v>
      </c>
      <c r="D7" s="25">
        <v>4</v>
      </c>
      <c r="E7" s="47">
        <f t="shared" si="0"/>
        <v>16</v>
      </c>
      <c r="F7" s="25">
        <v>81</v>
      </c>
      <c r="G7" s="45">
        <f t="shared" si="1"/>
        <v>0.45251396648044695</v>
      </c>
      <c r="H7" s="10"/>
      <c r="I7" s="46" t="s">
        <v>261</v>
      </c>
    </row>
    <row r="8" spans="1:9" ht="28.05" customHeight="1" x14ac:dyDescent="0.3">
      <c r="A8" s="24">
        <v>5</v>
      </c>
      <c r="B8" s="24" t="s">
        <v>159</v>
      </c>
      <c r="C8" s="24">
        <v>3</v>
      </c>
      <c r="D8" s="24">
        <v>5</v>
      </c>
      <c r="E8" s="47">
        <f t="shared" si="0"/>
        <v>15</v>
      </c>
      <c r="F8" s="24">
        <v>96</v>
      </c>
      <c r="G8" s="43">
        <f t="shared" si="1"/>
        <v>0.53631284916201116</v>
      </c>
      <c r="H8" s="6"/>
      <c r="I8" s="44" t="s">
        <v>261</v>
      </c>
    </row>
    <row r="9" spans="1:9" ht="28.05" customHeight="1" x14ac:dyDescent="0.3">
      <c r="A9" s="25">
        <v>6</v>
      </c>
      <c r="B9" s="25" t="s">
        <v>166</v>
      </c>
      <c r="C9" s="25">
        <v>3</v>
      </c>
      <c r="D9" s="25">
        <v>4</v>
      </c>
      <c r="E9" s="47">
        <f t="shared" si="0"/>
        <v>12</v>
      </c>
      <c r="F9" s="25">
        <v>108</v>
      </c>
      <c r="G9" s="45">
        <f t="shared" si="1"/>
        <v>0.6033519553072626</v>
      </c>
      <c r="H9" s="10"/>
      <c r="I9" s="46" t="s">
        <v>261</v>
      </c>
    </row>
    <row r="10" spans="1:9" ht="28.05" customHeight="1" x14ac:dyDescent="0.3">
      <c r="A10" s="24">
        <v>7</v>
      </c>
      <c r="B10" s="24" t="s">
        <v>172</v>
      </c>
      <c r="C10" s="24">
        <v>3</v>
      </c>
      <c r="D10" s="24">
        <v>4</v>
      </c>
      <c r="E10" s="47">
        <f t="shared" si="0"/>
        <v>12</v>
      </c>
      <c r="F10" s="24">
        <v>120</v>
      </c>
      <c r="G10" s="43">
        <f t="shared" si="1"/>
        <v>0.67039106145251393</v>
      </c>
      <c r="H10" s="6"/>
      <c r="I10" s="44" t="s">
        <v>261</v>
      </c>
    </row>
    <row r="11" spans="1:9" ht="28.05" customHeight="1" x14ac:dyDescent="0.3">
      <c r="A11" s="25">
        <v>8</v>
      </c>
      <c r="B11" s="25" t="s">
        <v>201</v>
      </c>
      <c r="C11" s="25">
        <v>2</v>
      </c>
      <c r="D11" s="25">
        <v>5</v>
      </c>
      <c r="E11" s="47">
        <f t="shared" si="0"/>
        <v>10</v>
      </c>
      <c r="F11" s="25">
        <v>130</v>
      </c>
      <c r="G11" s="45">
        <f t="shared" si="1"/>
        <v>0.72625698324022347</v>
      </c>
      <c r="H11" s="10"/>
      <c r="I11" s="46" t="s">
        <v>261</v>
      </c>
    </row>
    <row r="12" spans="1:9" ht="28.05" customHeight="1" x14ac:dyDescent="0.3">
      <c r="A12" s="24">
        <v>9</v>
      </c>
      <c r="B12" s="24" t="s">
        <v>206</v>
      </c>
      <c r="C12" s="24">
        <v>2</v>
      </c>
      <c r="D12" s="24">
        <v>5</v>
      </c>
      <c r="E12" s="47">
        <f t="shared" si="0"/>
        <v>10</v>
      </c>
      <c r="F12" s="24">
        <v>140</v>
      </c>
      <c r="G12" s="43">
        <f t="shared" si="1"/>
        <v>0.78212290502793291</v>
      </c>
      <c r="H12" s="6"/>
      <c r="I12" s="44" t="s">
        <v>261</v>
      </c>
    </row>
    <row r="13" spans="1:9" ht="28.05" customHeight="1" x14ac:dyDescent="0.3">
      <c r="A13" s="25">
        <v>10</v>
      </c>
      <c r="B13" s="25" t="s">
        <v>184</v>
      </c>
      <c r="C13" s="25">
        <v>3</v>
      </c>
      <c r="D13" s="25">
        <v>3</v>
      </c>
      <c r="E13" s="48">
        <f t="shared" si="0"/>
        <v>9</v>
      </c>
      <c r="F13" s="25">
        <v>149</v>
      </c>
      <c r="G13" s="45">
        <f t="shared" si="1"/>
        <v>0.83240223463687146</v>
      </c>
      <c r="H13" s="10"/>
      <c r="I13" s="49" t="s">
        <v>262</v>
      </c>
    </row>
    <row r="14" spans="1:9" ht="28.05" customHeight="1" x14ac:dyDescent="0.3">
      <c r="A14" s="24">
        <v>11</v>
      </c>
      <c r="B14" s="24" t="s">
        <v>153</v>
      </c>
      <c r="C14" s="24">
        <v>2</v>
      </c>
      <c r="D14" s="24">
        <v>4</v>
      </c>
      <c r="E14" s="48">
        <f t="shared" si="0"/>
        <v>8</v>
      </c>
      <c r="F14" s="24">
        <v>157</v>
      </c>
      <c r="G14" s="43">
        <f t="shared" si="1"/>
        <v>0.87709497206703912</v>
      </c>
      <c r="H14" s="6"/>
      <c r="I14" s="50" t="s">
        <v>262</v>
      </c>
    </row>
    <row r="15" spans="1:9" ht="28.05" customHeight="1" x14ac:dyDescent="0.3">
      <c r="A15" s="25">
        <v>12</v>
      </c>
      <c r="B15" s="25" t="s">
        <v>177</v>
      </c>
      <c r="C15" s="25">
        <v>2</v>
      </c>
      <c r="D15" s="25">
        <v>4</v>
      </c>
      <c r="E15" s="48">
        <f t="shared" si="0"/>
        <v>8</v>
      </c>
      <c r="F15" s="25">
        <v>165</v>
      </c>
      <c r="G15" s="45">
        <f t="shared" si="1"/>
        <v>0.92178770949720668</v>
      </c>
      <c r="H15" s="10"/>
      <c r="I15" s="49" t="s">
        <v>262</v>
      </c>
    </row>
    <row r="16" spans="1:9" ht="28.05" customHeight="1" x14ac:dyDescent="0.3">
      <c r="A16" s="24">
        <v>13</v>
      </c>
      <c r="B16" s="24" t="s">
        <v>190</v>
      </c>
      <c r="C16" s="24">
        <v>2</v>
      </c>
      <c r="D16" s="24">
        <v>3</v>
      </c>
      <c r="E16" s="48">
        <f t="shared" si="0"/>
        <v>6</v>
      </c>
      <c r="F16" s="24">
        <v>171</v>
      </c>
      <c r="G16" s="43">
        <f t="shared" si="1"/>
        <v>0.95530726256983245</v>
      </c>
      <c r="H16" s="6"/>
      <c r="I16" s="50" t="s">
        <v>262</v>
      </c>
    </row>
    <row r="17" spans="1:9" ht="28.05" customHeight="1" x14ac:dyDescent="0.3">
      <c r="A17" s="25">
        <v>14</v>
      </c>
      <c r="B17" s="25" t="s">
        <v>212</v>
      </c>
      <c r="C17" s="25">
        <v>3</v>
      </c>
      <c r="D17" s="25">
        <v>2</v>
      </c>
      <c r="E17" s="48">
        <f t="shared" si="0"/>
        <v>6</v>
      </c>
      <c r="F17" s="25">
        <v>177</v>
      </c>
      <c r="G17" s="45">
        <f t="shared" si="1"/>
        <v>0.98882681564245811</v>
      </c>
      <c r="H17" s="10"/>
      <c r="I17" s="49" t="s">
        <v>262</v>
      </c>
    </row>
    <row r="18" spans="1:9" ht="28.05" customHeight="1" x14ac:dyDescent="0.3">
      <c r="A18" s="24">
        <v>15</v>
      </c>
      <c r="B18" s="24" t="s">
        <v>196</v>
      </c>
      <c r="C18" s="24">
        <v>1</v>
      </c>
      <c r="D18" s="24">
        <v>2</v>
      </c>
      <c r="E18" s="51">
        <f t="shared" si="0"/>
        <v>2</v>
      </c>
      <c r="F18" s="24">
        <v>179</v>
      </c>
      <c r="G18" s="43">
        <f t="shared" si="1"/>
        <v>1</v>
      </c>
      <c r="H18" s="6"/>
      <c r="I18" s="50" t="s">
        <v>262</v>
      </c>
    </row>
    <row r="19" spans="1:9" x14ac:dyDescent="0.3">
      <c r="A19" s="52" t="s">
        <v>263</v>
      </c>
      <c r="E19" s="52">
        <f>SUM(E4:E18)</f>
        <v>179</v>
      </c>
      <c r="G19" s="53">
        <v>1</v>
      </c>
    </row>
    <row r="21" spans="1:9" x14ac:dyDescent="0.3">
      <c r="A21" s="54" t="s">
        <v>264</v>
      </c>
    </row>
    <row r="22" spans="1:9" x14ac:dyDescent="0.3">
      <c r="A22" s="36" t="s">
        <v>265</v>
      </c>
      <c r="B22" s="117" t="s">
        <v>65</v>
      </c>
      <c r="C22" s="117" t="s">
        <v>266</v>
      </c>
    </row>
    <row r="23" spans="1:9" ht="19.95" customHeight="1" x14ac:dyDescent="0.3">
      <c r="A23" t="s">
        <v>128</v>
      </c>
      <c r="B23" s="116">
        <v>25</v>
      </c>
      <c r="C23" s="116">
        <v>14</v>
      </c>
    </row>
    <row r="24" spans="1:9" ht="19.95" customHeight="1" x14ac:dyDescent="0.3">
      <c r="A24" t="s">
        <v>267</v>
      </c>
      <c r="B24" s="116">
        <v>20</v>
      </c>
      <c r="C24" s="116">
        <v>25.1</v>
      </c>
    </row>
    <row r="25" spans="1:9" ht="19.95" customHeight="1" x14ac:dyDescent="0.3">
      <c r="A25" t="s">
        <v>268</v>
      </c>
      <c r="B25" s="116">
        <v>20</v>
      </c>
      <c r="C25" s="116">
        <v>36.299999999999997</v>
      </c>
    </row>
    <row r="26" spans="1:9" ht="19.95" customHeight="1" x14ac:dyDescent="0.3">
      <c r="A26" t="s">
        <v>269</v>
      </c>
      <c r="B26" s="116">
        <v>16</v>
      </c>
      <c r="C26" s="116">
        <v>45.3</v>
      </c>
    </row>
    <row r="27" spans="1:9" ht="19.95" customHeight="1" x14ac:dyDescent="0.3">
      <c r="A27" t="s">
        <v>270</v>
      </c>
      <c r="B27" s="116">
        <v>15</v>
      </c>
      <c r="C27" s="116">
        <v>53.6</v>
      </c>
    </row>
    <row r="28" spans="1:9" ht="19.95" customHeight="1" x14ac:dyDescent="0.3">
      <c r="A28" t="s">
        <v>271</v>
      </c>
      <c r="B28" s="116">
        <v>12</v>
      </c>
      <c r="C28" s="116">
        <v>60.3</v>
      </c>
    </row>
    <row r="29" spans="1:9" ht="19.95" customHeight="1" x14ac:dyDescent="0.3">
      <c r="A29" t="s">
        <v>272</v>
      </c>
      <c r="B29" s="116">
        <v>12</v>
      </c>
      <c r="C29" s="116">
        <v>67</v>
      </c>
    </row>
    <row r="30" spans="1:9" ht="19.95" customHeight="1" x14ac:dyDescent="0.3">
      <c r="A30" t="s">
        <v>273</v>
      </c>
      <c r="B30" s="116">
        <v>10</v>
      </c>
      <c r="C30" s="116">
        <v>72.599999999999994</v>
      </c>
    </row>
    <row r="31" spans="1:9" ht="19.95" customHeight="1" x14ac:dyDescent="0.3">
      <c r="A31" t="s">
        <v>274</v>
      </c>
      <c r="B31" s="116">
        <v>10</v>
      </c>
      <c r="C31" s="116">
        <v>78.2</v>
      </c>
    </row>
    <row r="32" spans="1:9" ht="19.95" customHeight="1" x14ac:dyDescent="0.3">
      <c r="A32" t="s">
        <v>275</v>
      </c>
      <c r="B32" s="116">
        <v>9</v>
      </c>
      <c r="C32" s="116">
        <v>83.2</v>
      </c>
    </row>
    <row r="33" spans="1:3" ht="19.95" customHeight="1" x14ac:dyDescent="0.3">
      <c r="A33" t="s">
        <v>276</v>
      </c>
      <c r="B33" s="116">
        <v>8</v>
      </c>
      <c r="C33" s="116">
        <v>87.7</v>
      </c>
    </row>
    <row r="34" spans="1:3" ht="19.95" customHeight="1" x14ac:dyDescent="0.3">
      <c r="A34" t="s">
        <v>277</v>
      </c>
      <c r="B34" s="116">
        <v>8</v>
      </c>
      <c r="C34" s="116">
        <v>92.2</v>
      </c>
    </row>
    <row r="35" spans="1:3" ht="19.95" customHeight="1" x14ac:dyDescent="0.3">
      <c r="A35" t="s">
        <v>190</v>
      </c>
      <c r="B35" s="116">
        <v>6</v>
      </c>
      <c r="C35" s="116">
        <v>95.5</v>
      </c>
    </row>
    <row r="36" spans="1:3" ht="19.95" customHeight="1" x14ac:dyDescent="0.3">
      <c r="A36" t="s">
        <v>278</v>
      </c>
      <c r="B36" s="116">
        <v>6</v>
      </c>
      <c r="C36" s="116">
        <v>98.9</v>
      </c>
    </row>
    <row r="37" spans="1:3" ht="19.95" customHeight="1" x14ac:dyDescent="0.3">
      <c r="A37" t="s">
        <v>279</v>
      </c>
      <c r="B37" s="116">
        <v>2</v>
      </c>
      <c r="C37" s="116">
        <v>100</v>
      </c>
    </row>
  </sheetData>
  <mergeCells count="2">
    <mergeCell ref="A1:I1"/>
    <mergeCell ref="A2:I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6221"/>
  </sheetPr>
  <dimension ref="A1:I24"/>
  <sheetViews>
    <sheetView showGridLines="0" workbookViewId="0">
      <pane ySplit="3" topLeftCell="A4" activePane="bottomLeft" state="frozen"/>
      <selection pane="bottomLeft" activeCell="C28" sqref="C28"/>
    </sheetView>
  </sheetViews>
  <sheetFormatPr defaultRowHeight="14.4" x14ac:dyDescent="0.3"/>
  <cols>
    <col min="1" max="1" width="13.21875" bestFit="1" customWidth="1"/>
    <col min="2" max="2" width="30" style="116" customWidth="1"/>
    <col min="3" max="3" width="20" customWidth="1"/>
    <col min="4" max="4" width="28" customWidth="1"/>
    <col min="5" max="6" width="16" customWidth="1"/>
    <col min="7" max="7" width="20" customWidth="1"/>
    <col min="8" max="8" width="22" customWidth="1"/>
    <col min="9" max="9" width="16" customWidth="1"/>
  </cols>
  <sheetData>
    <row r="1" spans="1:9" ht="28.05" customHeight="1" x14ac:dyDescent="0.3">
      <c r="A1" s="101" t="s">
        <v>280</v>
      </c>
      <c r="B1" s="87"/>
      <c r="C1" s="87"/>
      <c r="D1" s="87"/>
      <c r="E1" s="87"/>
      <c r="F1" s="87"/>
      <c r="G1" s="87"/>
      <c r="H1" s="87"/>
      <c r="I1" s="87"/>
    </row>
    <row r="3" spans="1:9" ht="36" customHeight="1" x14ac:dyDescent="0.3">
      <c r="A3" s="23" t="s">
        <v>118</v>
      </c>
      <c r="B3" s="23" t="s">
        <v>281</v>
      </c>
      <c r="C3" s="23" t="s">
        <v>282</v>
      </c>
      <c r="D3" s="23" t="s">
        <v>283</v>
      </c>
      <c r="E3" s="23" t="s">
        <v>284</v>
      </c>
      <c r="F3" s="23" t="s">
        <v>285</v>
      </c>
      <c r="G3" s="23" t="s">
        <v>286</v>
      </c>
      <c r="H3" s="23" t="s">
        <v>127</v>
      </c>
      <c r="I3" s="23" t="s">
        <v>287</v>
      </c>
    </row>
    <row r="4" spans="1:9" ht="36" customHeight="1" x14ac:dyDescent="0.3">
      <c r="A4" s="24">
        <v>1</v>
      </c>
      <c r="B4" s="4" t="s">
        <v>288</v>
      </c>
      <c r="C4" s="55" t="s">
        <v>289</v>
      </c>
      <c r="D4" s="5" t="s">
        <v>290</v>
      </c>
      <c r="E4" s="24" t="s">
        <v>291</v>
      </c>
      <c r="F4" s="6" t="s">
        <v>292</v>
      </c>
      <c r="G4" s="5" t="s">
        <v>293</v>
      </c>
      <c r="H4" s="5" t="s">
        <v>294</v>
      </c>
      <c r="I4" s="47" t="s">
        <v>75</v>
      </c>
    </row>
    <row r="5" spans="1:9" ht="36" customHeight="1" x14ac:dyDescent="0.3">
      <c r="A5" s="25">
        <v>2</v>
      </c>
      <c r="B5" s="8" t="s">
        <v>295</v>
      </c>
      <c r="C5" s="55" t="s">
        <v>289</v>
      </c>
      <c r="D5" s="9" t="s">
        <v>296</v>
      </c>
      <c r="E5" s="25" t="s">
        <v>297</v>
      </c>
      <c r="F5" s="10" t="s">
        <v>298</v>
      </c>
      <c r="G5" s="9" t="s">
        <v>299</v>
      </c>
      <c r="H5" s="9" t="s">
        <v>300</v>
      </c>
      <c r="I5" s="42" t="s">
        <v>70</v>
      </c>
    </row>
    <row r="6" spans="1:9" ht="36" customHeight="1" x14ac:dyDescent="0.3">
      <c r="A6" s="24">
        <v>3</v>
      </c>
      <c r="B6" s="4" t="s">
        <v>301</v>
      </c>
      <c r="C6" s="56" t="s">
        <v>302</v>
      </c>
      <c r="D6" s="5" t="s">
        <v>303</v>
      </c>
      <c r="E6" s="24" t="s">
        <v>297</v>
      </c>
      <c r="F6" s="6" t="s">
        <v>304</v>
      </c>
      <c r="G6" s="5" t="s">
        <v>305</v>
      </c>
      <c r="H6" s="5" t="s">
        <v>306</v>
      </c>
      <c r="I6" s="47" t="s">
        <v>75</v>
      </c>
    </row>
    <row r="7" spans="1:9" ht="36" customHeight="1" x14ac:dyDescent="0.3">
      <c r="A7" s="25">
        <v>4</v>
      </c>
      <c r="B7" s="8" t="s">
        <v>307</v>
      </c>
      <c r="C7" s="57" t="s">
        <v>308</v>
      </c>
      <c r="D7" s="9" t="s">
        <v>309</v>
      </c>
      <c r="E7" s="25" t="s">
        <v>310</v>
      </c>
      <c r="F7" s="10" t="s">
        <v>154</v>
      </c>
      <c r="G7" s="9" t="s">
        <v>311</v>
      </c>
      <c r="H7" s="9" t="s">
        <v>312</v>
      </c>
      <c r="I7" s="42" t="s">
        <v>70</v>
      </c>
    </row>
    <row r="8" spans="1:9" ht="36" customHeight="1" x14ac:dyDescent="0.3">
      <c r="A8" s="24">
        <v>5</v>
      </c>
      <c r="B8" s="4" t="s">
        <v>313</v>
      </c>
      <c r="C8" s="58" t="s">
        <v>314</v>
      </c>
      <c r="D8" s="5" t="s">
        <v>315</v>
      </c>
      <c r="E8" s="24" t="s">
        <v>316</v>
      </c>
      <c r="F8" s="6" t="s">
        <v>167</v>
      </c>
      <c r="G8" s="5" t="s">
        <v>317</v>
      </c>
      <c r="H8" s="5" t="s">
        <v>318</v>
      </c>
      <c r="I8" s="47" t="s">
        <v>75</v>
      </c>
    </row>
    <row r="9" spans="1:9" ht="36" customHeight="1" x14ac:dyDescent="0.3">
      <c r="A9" s="25">
        <v>6</v>
      </c>
      <c r="B9" s="8" t="s">
        <v>319</v>
      </c>
      <c r="C9" s="57" t="s">
        <v>308</v>
      </c>
      <c r="D9" s="9" t="s">
        <v>320</v>
      </c>
      <c r="E9" s="25" t="s">
        <v>321</v>
      </c>
      <c r="F9" s="10" t="s">
        <v>322</v>
      </c>
      <c r="G9" s="9" t="s">
        <v>323</v>
      </c>
      <c r="H9" s="9" t="s">
        <v>324</v>
      </c>
      <c r="I9" s="42" t="s">
        <v>70</v>
      </c>
    </row>
    <row r="10" spans="1:9" ht="36" customHeight="1" x14ac:dyDescent="0.3">
      <c r="A10" s="24">
        <v>7</v>
      </c>
      <c r="B10" s="4" t="s">
        <v>325</v>
      </c>
      <c r="C10" s="55" t="s">
        <v>289</v>
      </c>
      <c r="D10" s="5" t="s">
        <v>326</v>
      </c>
      <c r="E10" s="24" t="s">
        <v>297</v>
      </c>
      <c r="F10" s="6" t="s">
        <v>327</v>
      </c>
      <c r="G10" s="5" t="s">
        <v>328</v>
      </c>
      <c r="H10" s="5" t="s">
        <v>329</v>
      </c>
      <c r="I10" s="48" t="s">
        <v>80</v>
      </c>
    </row>
    <row r="11" spans="1:9" ht="36" customHeight="1" x14ac:dyDescent="0.3">
      <c r="A11" s="25">
        <v>8</v>
      </c>
      <c r="B11" s="8" t="s">
        <v>330</v>
      </c>
      <c r="C11" s="58" t="s">
        <v>314</v>
      </c>
      <c r="D11" s="9" t="s">
        <v>331</v>
      </c>
      <c r="E11" s="25" t="s">
        <v>316</v>
      </c>
      <c r="F11" s="10" t="s">
        <v>332</v>
      </c>
      <c r="G11" s="9" t="s">
        <v>333</v>
      </c>
      <c r="H11" s="9" t="s">
        <v>334</v>
      </c>
      <c r="I11" s="47" t="s">
        <v>75</v>
      </c>
    </row>
    <row r="12" spans="1:9" ht="36" customHeight="1" x14ac:dyDescent="0.3">
      <c r="A12" s="24">
        <v>9</v>
      </c>
      <c r="B12" s="4" t="s">
        <v>335</v>
      </c>
      <c r="C12" s="57" t="s">
        <v>308</v>
      </c>
      <c r="D12" s="5" t="s">
        <v>336</v>
      </c>
      <c r="E12" s="24" t="s">
        <v>297</v>
      </c>
      <c r="F12" s="6" t="s">
        <v>337</v>
      </c>
      <c r="G12" s="5" t="s">
        <v>338</v>
      </c>
      <c r="H12" s="5" t="s">
        <v>339</v>
      </c>
      <c r="I12" s="42" t="s">
        <v>70</v>
      </c>
    </row>
    <row r="13" spans="1:9" ht="36" customHeight="1" x14ac:dyDescent="0.3">
      <c r="A13" s="25">
        <v>10</v>
      </c>
      <c r="B13" s="8" t="s">
        <v>340</v>
      </c>
      <c r="C13" s="56" t="s">
        <v>302</v>
      </c>
      <c r="D13" s="9" t="s">
        <v>341</v>
      </c>
      <c r="E13" s="25" t="s">
        <v>297</v>
      </c>
      <c r="F13" s="10" t="s">
        <v>342</v>
      </c>
      <c r="G13" s="9" t="s">
        <v>343</v>
      </c>
      <c r="H13" s="9" t="s">
        <v>344</v>
      </c>
      <c r="I13" s="47" t="s">
        <v>75</v>
      </c>
    </row>
    <row r="14" spans="1:9" ht="36" customHeight="1" x14ac:dyDescent="0.3">
      <c r="A14" s="24">
        <v>11</v>
      </c>
      <c r="B14" s="4" t="s">
        <v>345</v>
      </c>
      <c r="C14" s="55" t="s">
        <v>289</v>
      </c>
      <c r="D14" s="5" t="s">
        <v>346</v>
      </c>
      <c r="E14" s="24" t="s">
        <v>316</v>
      </c>
      <c r="F14" s="6" t="s">
        <v>347</v>
      </c>
      <c r="G14" s="5" t="s">
        <v>348</v>
      </c>
      <c r="H14" s="5" t="s">
        <v>349</v>
      </c>
      <c r="I14" s="48" t="s">
        <v>80</v>
      </c>
    </row>
    <row r="15" spans="1:9" ht="36" customHeight="1" x14ac:dyDescent="0.3">
      <c r="A15" s="25">
        <v>12</v>
      </c>
      <c r="B15" s="8" t="s">
        <v>350</v>
      </c>
      <c r="C15" s="58" t="s">
        <v>314</v>
      </c>
      <c r="D15" s="9" t="s">
        <v>351</v>
      </c>
      <c r="E15" s="25" t="s">
        <v>291</v>
      </c>
      <c r="F15" s="10" t="s">
        <v>352</v>
      </c>
      <c r="G15" s="9" t="s">
        <v>353</v>
      </c>
      <c r="H15" s="9" t="s">
        <v>354</v>
      </c>
      <c r="I15" s="42" t="s">
        <v>70</v>
      </c>
    </row>
    <row r="18" spans="1:9" x14ac:dyDescent="0.3">
      <c r="A18" s="107" t="s">
        <v>355</v>
      </c>
      <c r="B18" s="87"/>
      <c r="C18" s="87"/>
      <c r="D18" s="87"/>
      <c r="E18" s="87"/>
      <c r="F18" s="87"/>
      <c r="G18" s="87"/>
      <c r="H18" s="87"/>
      <c r="I18" s="87"/>
    </row>
    <row r="20" spans="1:9" x14ac:dyDescent="0.3">
      <c r="A20" s="36" t="s">
        <v>356</v>
      </c>
      <c r="B20" s="117" t="s">
        <v>255</v>
      </c>
    </row>
    <row r="21" spans="1:9" x14ac:dyDescent="0.3">
      <c r="A21" t="s">
        <v>289</v>
      </c>
      <c r="B21" s="116">
        <v>4</v>
      </c>
    </row>
    <row r="22" spans="1:9" x14ac:dyDescent="0.3">
      <c r="A22" t="s">
        <v>302</v>
      </c>
      <c r="B22" s="116">
        <v>2</v>
      </c>
    </row>
    <row r="23" spans="1:9" x14ac:dyDescent="0.3">
      <c r="A23" t="s">
        <v>308</v>
      </c>
      <c r="B23" s="116">
        <v>3</v>
      </c>
    </row>
    <row r="24" spans="1:9" x14ac:dyDescent="0.3">
      <c r="A24" t="s">
        <v>314</v>
      </c>
      <c r="B24" s="116">
        <v>3</v>
      </c>
    </row>
  </sheetData>
  <mergeCells count="2">
    <mergeCell ref="A1:I1"/>
    <mergeCell ref="A18:I18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E56"/>
  </sheetPr>
  <dimension ref="A1:I13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5" customWidth="1"/>
    <col min="2" max="2" width="30" customWidth="1"/>
    <col min="3" max="3" width="20" customWidth="1"/>
    <col min="4" max="5" width="22" customWidth="1"/>
    <col min="6" max="6" width="18" customWidth="1"/>
    <col min="7" max="7" width="16" customWidth="1"/>
    <col min="8" max="8" width="14" customWidth="1"/>
    <col min="9" max="9" width="16" customWidth="1"/>
  </cols>
  <sheetData>
    <row r="1" spans="1:9" ht="28.05" customHeight="1" x14ac:dyDescent="0.3">
      <c r="A1" s="101" t="s">
        <v>357</v>
      </c>
      <c r="B1" s="87"/>
      <c r="C1" s="87"/>
      <c r="D1" s="87"/>
      <c r="E1" s="87"/>
      <c r="F1" s="87"/>
      <c r="G1" s="87"/>
      <c r="H1" s="87"/>
      <c r="I1" s="87"/>
    </row>
    <row r="3" spans="1:9" ht="36" customHeight="1" x14ac:dyDescent="0.3">
      <c r="A3" s="23" t="s">
        <v>118</v>
      </c>
      <c r="B3" s="23" t="s">
        <v>358</v>
      </c>
      <c r="C3" s="23" t="s">
        <v>359</v>
      </c>
      <c r="D3" s="23" t="s">
        <v>360</v>
      </c>
      <c r="E3" s="23" t="s">
        <v>361</v>
      </c>
      <c r="F3" s="23" t="s">
        <v>362</v>
      </c>
      <c r="G3" s="23" t="s">
        <v>67</v>
      </c>
      <c r="H3" s="23" t="s">
        <v>363</v>
      </c>
      <c r="I3" s="23" t="s">
        <v>364</v>
      </c>
    </row>
    <row r="4" spans="1:9" ht="37.950000000000003" customHeight="1" x14ac:dyDescent="0.3">
      <c r="A4" s="24">
        <v>1</v>
      </c>
      <c r="B4" s="5" t="s">
        <v>128</v>
      </c>
      <c r="C4" s="55" t="s">
        <v>365</v>
      </c>
      <c r="D4" s="5" t="s">
        <v>366</v>
      </c>
      <c r="E4" s="5" t="s">
        <v>367</v>
      </c>
      <c r="F4" s="5" t="s">
        <v>368</v>
      </c>
      <c r="G4" s="5" t="s">
        <v>130</v>
      </c>
      <c r="H4" s="4">
        <v>4</v>
      </c>
      <c r="I4" s="59" t="s">
        <v>369</v>
      </c>
    </row>
    <row r="5" spans="1:9" ht="37.950000000000003" customHeight="1" x14ac:dyDescent="0.3">
      <c r="A5" s="25">
        <v>2</v>
      </c>
      <c r="B5" s="9" t="s">
        <v>141</v>
      </c>
      <c r="C5" s="57" t="s">
        <v>370</v>
      </c>
      <c r="D5" s="9" t="s">
        <v>371</v>
      </c>
      <c r="E5" s="9" t="s">
        <v>372</v>
      </c>
      <c r="F5" s="9" t="s">
        <v>373</v>
      </c>
      <c r="G5" s="9" t="s">
        <v>374</v>
      </c>
      <c r="H5" s="8">
        <v>3</v>
      </c>
      <c r="I5" s="59" t="s">
        <v>369</v>
      </c>
    </row>
    <row r="6" spans="1:9" ht="37.950000000000003" customHeight="1" x14ac:dyDescent="0.3">
      <c r="A6" s="24">
        <v>3</v>
      </c>
      <c r="B6" s="5" t="s">
        <v>375</v>
      </c>
      <c r="C6" s="56" t="s">
        <v>376</v>
      </c>
      <c r="D6" s="5" t="s">
        <v>377</v>
      </c>
      <c r="E6" s="5" t="s">
        <v>378</v>
      </c>
      <c r="F6" s="5" t="s">
        <v>379</v>
      </c>
      <c r="G6" s="5" t="s">
        <v>154</v>
      </c>
      <c r="H6" s="4">
        <v>4</v>
      </c>
      <c r="I6" s="59" t="s">
        <v>369</v>
      </c>
    </row>
    <row r="7" spans="1:9" ht="37.950000000000003" customHeight="1" x14ac:dyDescent="0.3">
      <c r="A7" s="25">
        <v>4</v>
      </c>
      <c r="B7" s="9" t="s">
        <v>380</v>
      </c>
      <c r="C7" s="57" t="s">
        <v>370</v>
      </c>
      <c r="D7" s="9" t="s">
        <v>381</v>
      </c>
      <c r="E7" s="9" t="s">
        <v>382</v>
      </c>
      <c r="F7" s="9" t="s">
        <v>383</v>
      </c>
      <c r="G7" s="9" t="s">
        <v>165</v>
      </c>
      <c r="H7" s="8">
        <v>4</v>
      </c>
      <c r="I7" s="59" t="s">
        <v>369</v>
      </c>
    </row>
    <row r="8" spans="1:9" ht="37.950000000000003" customHeight="1" x14ac:dyDescent="0.3">
      <c r="A8" s="24">
        <v>5</v>
      </c>
      <c r="B8" s="5" t="s">
        <v>384</v>
      </c>
      <c r="C8" s="57" t="s">
        <v>370</v>
      </c>
      <c r="D8" s="5" t="s">
        <v>385</v>
      </c>
      <c r="E8" s="5" t="s">
        <v>386</v>
      </c>
      <c r="F8" s="5" t="s">
        <v>387</v>
      </c>
      <c r="G8" s="5" t="s">
        <v>152</v>
      </c>
      <c r="H8" s="4">
        <v>3</v>
      </c>
      <c r="I8" s="60" t="s">
        <v>388</v>
      </c>
    </row>
    <row r="9" spans="1:9" ht="37.950000000000003" customHeight="1" x14ac:dyDescent="0.3">
      <c r="A9" s="25">
        <v>6</v>
      </c>
      <c r="B9" s="9" t="s">
        <v>135</v>
      </c>
      <c r="C9" s="56" t="s">
        <v>376</v>
      </c>
      <c r="D9" s="9" t="s">
        <v>389</v>
      </c>
      <c r="E9" s="9" t="s">
        <v>390</v>
      </c>
      <c r="F9" s="9" t="s">
        <v>391</v>
      </c>
      <c r="G9" s="9" t="s">
        <v>176</v>
      </c>
      <c r="H9" s="8">
        <v>4</v>
      </c>
      <c r="I9" s="59" t="s">
        <v>369</v>
      </c>
    </row>
    <row r="10" spans="1:9" ht="37.950000000000003" customHeight="1" x14ac:dyDescent="0.3">
      <c r="A10" s="24">
        <v>7</v>
      </c>
      <c r="B10" s="5" t="s">
        <v>392</v>
      </c>
      <c r="C10" s="57" t="s">
        <v>370</v>
      </c>
      <c r="D10" s="5" t="s">
        <v>393</v>
      </c>
      <c r="E10" s="5" t="s">
        <v>394</v>
      </c>
      <c r="F10" s="5" t="s">
        <v>395</v>
      </c>
      <c r="G10" s="5" t="s">
        <v>183</v>
      </c>
      <c r="H10" s="4">
        <v>3</v>
      </c>
      <c r="I10" s="60" t="s">
        <v>388</v>
      </c>
    </row>
    <row r="11" spans="1:9" ht="37.950000000000003" customHeight="1" x14ac:dyDescent="0.3">
      <c r="A11" s="25">
        <v>8</v>
      </c>
      <c r="B11" s="9" t="s">
        <v>396</v>
      </c>
      <c r="C11" s="57" t="s">
        <v>370</v>
      </c>
      <c r="D11" s="9" t="s">
        <v>397</v>
      </c>
      <c r="E11" s="9" t="s">
        <v>398</v>
      </c>
      <c r="F11" s="9" t="s">
        <v>399</v>
      </c>
      <c r="G11" s="9" t="s">
        <v>189</v>
      </c>
      <c r="H11" s="8">
        <v>3</v>
      </c>
      <c r="I11" s="59" t="s">
        <v>369</v>
      </c>
    </row>
    <row r="12" spans="1:9" ht="37.950000000000003" customHeight="1" x14ac:dyDescent="0.3">
      <c r="A12" s="24">
        <v>9</v>
      </c>
      <c r="B12" s="5" t="s">
        <v>400</v>
      </c>
      <c r="C12" s="56" t="s">
        <v>376</v>
      </c>
      <c r="D12" s="5" t="s">
        <v>401</v>
      </c>
      <c r="E12" s="5" t="s">
        <v>402</v>
      </c>
      <c r="F12" s="5" t="s">
        <v>403</v>
      </c>
      <c r="G12" s="5" t="s">
        <v>195</v>
      </c>
      <c r="H12" s="4">
        <v>3</v>
      </c>
      <c r="I12" s="59" t="s">
        <v>369</v>
      </c>
    </row>
    <row r="13" spans="1:9" ht="37.950000000000003" customHeight="1" x14ac:dyDescent="0.3">
      <c r="A13" s="25">
        <v>10</v>
      </c>
      <c r="B13" s="9" t="s">
        <v>404</v>
      </c>
      <c r="C13" s="57" t="s">
        <v>370</v>
      </c>
      <c r="D13" s="9" t="s">
        <v>405</v>
      </c>
      <c r="E13" s="9" t="s">
        <v>406</v>
      </c>
      <c r="F13" s="9" t="s">
        <v>407</v>
      </c>
      <c r="G13" s="9" t="s">
        <v>408</v>
      </c>
      <c r="H13" s="8">
        <v>4</v>
      </c>
      <c r="I13" s="59" t="s">
        <v>369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33AB7"/>
  </sheetPr>
  <dimension ref="A1:H12"/>
  <sheetViews>
    <sheetView showGridLines="0" workbookViewId="0">
      <selection sqref="A1:H1"/>
    </sheetView>
  </sheetViews>
  <sheetFormatPr defaultRowHeight="14.4" x14ac:dyDescent="0.3"/>
  <cols>
    <col min="1" max="1" width="18.33203125" bestFit="1" customWidth="1"/>
    <col min="2" max="2" width="4" customWidth="1"/>
    <col min="3" max="4" width="28" customWidth="1"/>
    <col min="5" max="6" width="4" customWidth="1"/>
    <col min="7" max="8" width="28" customWidth="1"/>
  </cols>
  <sheetData>
    <row r="1" spans="1:8" ht="28.05" customHeight="1" x14ac:dyDescent="0.3">
      <c r="A1" s="101" t="s">
        <v>409</v>
      </c>
      <c r="B1" s="87"/>
      <c r="C1" s="87"/>
      <c r="D1" s="87"/>
      <c r="E1" s="87"/>
      <c r="F1" s="87"/>
      <c r="G1" s="87"/>
      <c r="H1" s="87"/>
    </row>
    <row r="2" spans="1:8" ht="30" customHeight="1" x14ac:dyDescent="0.3">
      <c r="A2" s="106" t="s">
        <v>410</v>
      </c>
      <c r="B2" s="87"/>
      <c r="C2" s="87"/>
      <c r="D2" s="87"/>
      <c r="E2" s="87"/>
      <c r="F2" s="87"/>
      <c r="G2" s="87"/>
      <c r="H2" s="87"/>
    </row>
    <row r="4" spans="1:8" ht="30" customHeight="1" x14ac:dyDescent="0.3">
      <c r="A4" s="108" t="s">
        <v>411</v>
      </c>
      <c r="B4" s="87"/>
      <c r="C4" s="112" t="s">
        <v>412</v>
      </c>
      <c r="D4" s="87"/>
      <c r="E4" s="110" t="s">
        <v>413</v>
      </c>
      <c r="F4" s="87"/>
      <c r="G4" s="109" t="s">
        <v>414</v>
      </c>
      <c r="H4" s="87"/>
    </row>
    <row r="5" spans="1:8" ht="28.05" customHeight="1" x14ac:dyDescent="0.3">
      <c r="C5" s="111" t="s">
        <v>415</v>
      </c>
      <c r="D5" s="87"/>
      <c r="E5" s="87"/>
      <c r="F5" s="87"/>
    </row>
    <row r="6" spans="1:8" ht="28.05" customHeight="1" x14ac:dyDescent="0.3">
      <c r="A6" s="61" t="s">
        <v>416</v>
      </c>
      <c r="B6" s="62" t="s">
        <v>417</v>
      </c>
      <c r="C6" s="63" t="s">
        <v>418</v>
      </c>
      <c r="D6" s="63" t="s">
        <v>419</v>
      </c>
      <c r="E6" s="64" t="s">
        <v>420</v>
      </c>
      <c r="F6" s="64" t="s">
        <v>417</v>
      </c>
      <c r="H6" s="65" t="s">
        <v>421</v>
      </c>
    </row>
    <row r="7" spans="1:8" ht="28.05" customHeight="1" x14ac:dyDescent="0.3">
      <c r="A7" s="61" t="s">
        <v>422</v>
      </c>
      <c r="B7" s="62" t="s">
        <v>417</v>
      </c>
      <c r="C7" s="63" t="s">
        <v>381</v>
      </c>
      <c r="D7" s="63" t="s">
        <v>423</v>
      </c>
      <c r="E7" s="64" t="s">
        <v>420</v>
      </c>
      <c r="F7" s="64" t="s">
        <v>417</v>
      </c>
      <c r="H7" s="65" t="s">
        <v>424</v>
      </c>
    </row>
    <row r="8" spans="1:8" ht="28.05" customHeight="1" x14ac:dyDescent="0.3">
      <c r="A8" s="61" t="s">
        <v>425</v>
      </c>
      <c r="B8" s="62" t="s">
        <v>417</v>
      </c>
      <c r="C8" s="63" t="s">
        <v>426</v>
      </c>
      <c r="D8" s="63" t="s">
        <v>427</v>
      </c>
      <c r="E8" s="64" t="s">
        <v>420</v>
      </c>
      <c r="F8" s="64" t="s">
        <v>417</v>
      </c>
      <c r="H8" s="65" t="s">
        <v>428</v>
      </c>
    </row>
    <row r="9" spans="1:8" ht="28.05" customHeight="1" x14ac:dyDescent="0.3">
      <c r="A9" s="61" t="s">
        <v>429</v>
      </c>
      <c r="B9" s="62" t="s">
        <v>417</v>
      </c>
      <c r="C9" s="63" t="s">
        <v>430</v>
      </c>
      <c r="D9" s="63" t="s">
        <v>431</v>
      </c>
      <c r="E9" s="64" t="s">
        <v>420</v>
      </c>
      <c r="F9" s="64" t="s">
        <v>417</v>
      </c>
      <c r="H9" s="65" t="s">
        <v>432</v>
      </c>
    </row>
    <row r="10" spans="1:8" ht="28.05" customHeight="1" x14ac:dyDescent="0.3">
      <c r="A10" s="61" t="s">
        <v>433</v>
      </c>
      <c r="B10" s="62" t="s">
        <v>417</v>
      </c>
      <c r="C10" s="63" t="s">
        <v>434</v>
      </c>
      <c r="D10" s="63" t="s">
        <v>435</v>
      </c>
      <c r="E10" s="64" t="s">
        <v>420</v>
      </c>
      <c r="F10" s="64" t="s">
        <v>417</v>
      </c>
      <c r="H10" s="65" t="s">
        <v>436</v>
      </c>
    </row>
    <row r="11" spans="1:8" ht="28.05" customHeight="1" x14ac:dyDescent="0.3">
      <c r="A11" s="61" t="s">
        <v>437</v>
      </c>
      <c r="B11" s="62" t="s">
        <v>417</v>
      </c>
      <c r="C11" s="63" t="s">
        <v>438</v>
      </c>
      <c r="D11" s="63" t="s">
        <v>439</v>
      </c>
      <c r="E11" s="64" t="s">
        <v>420</v>
      </c>
      <c r="F11" s="64" t="s">
        <v>417</v>
      </c>
      <c r="H11" s="65" t="s">
        <v>440</v>
      </c>
    </row>
    <row r="12" spans="1:8" ht="28.05" customHeight="1" x14ac:dyDescent="0.3">
      <c r="A12" s="61" t="s">
        <v>441</v>
      </c>
      <c r="B12" s="62" t="s">
        <v>417</v>
      </c>
      <c r="C12" s="63" t="s">
        <v>442</v>
      </c>
      <c r="D12" s="63" t="s">
        <v>443</v>
      </c>
      <c r="E12" s="64" t="s">
        <v>420</v>
      </c>
      <c r="F12" s="64" t="s">
        <v>417</v>
      </c>
      <c r="H12" s="65" t="s">
        <v>444</v>
      </c>
    </row>
  </sheetData>
  <mergeCells count="7">
    <mergeCell ref="C5:F5"/>
    <mergeCell ref="C4:D4"/>
    <mergeCell ref="A4:B4"/>
    <mergeCell ref="G4:H4"/>
    <mergeCell ref="E4:F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85FA5"/>
  </sheetPr>
  <dimension ref="A1:I30"/>
  <sheetViews>
    <sheetView showGridLines="0" workbookViewId="0">
      <pane ySplit="3" topLeftCell="A4" activePane="bottomLeft" state="frozen"/>
      <selection pane="bottomLeft" activeCell="C25" sqref="C25"/>
    </sheetView>
  </sheetViews>
  <sheetFormatPr defaultRowHeight="14.4" x14ac:dyDescent="0.3"/>
  <cols>
    <col min="1" max="1" width="21.109375" bestFit="1" customWidth="1"/>
    <col min="2" max="2" width="24.77734375" style="116" bestFit="1" customWidth="1"/>
    <col min="3" max="3" width="42.6640625" bestFit="1" customWidth="1"/>
    <col min="4" max="4" width="20.44140625" bestFit="1" customWidth="1"/>
    <col min="5" max="6" width="16" customWidth="1"/>
    <col min="7" max="7" width="24" customWidth="1"/>
    <col min="8" max="8" width="16" customWidth="1"/>
    <col min="9" max="9" width="20" customWidth="1"/>
  </cols>
  <sheetData>
    <row r="1" spans="1:9" ht="28.05" customHeight="1" x14ac:dyDescent="0.3">
      <c r="A1" s="101" t="s">
        <v>445</v>
      </c>
      <c r="B1" s="87"/>
      <c r="C1" s="87"/>
      <c r="D1" s="87"/>
      <c r="E1" s="87"/>
      <c r="F1" s="87"/>
      <c r="G1" s="87"/>
      <c r="H1" s="87"/>
      <c r="I1" s="87"/>
    </row>
    <row r="3" spans="1:9" ht="36" customHeight="1" x14ac:dyDescent="0.3">
      <c r="A3" s="23" t="s">
        <v>118</v>
      </c>
      <c r="B3" s="23" t="s">
        <v>446</v>
      </c>
      <c r="C3" s="23" t="s">
        <v>447</v>
      </c>
      <c r="D3" s="23" t="s">
        <v>448</v>
      </c>
      <c r="E3" s="23" t="s">
        <v>449</v>
      </c>
      <c r="F3" s="23" t="s">
        <v>450</v>
      </c>
      <c r="G3" s="23" t="s">
        <v>451</v>
      </c>
      <c r="H3" s="23" t="s">
        <v>452</v>
      </c>
      <c r="I3" s="23" t="s">
        <v>453</v>
      </c>
    </row>
    <row r="4" spans="1:9" ht="30" customHeight="1" x14ac:dyDescent="0.3">
      <c r="A4" s="24">
        <v>1</v>
      </c>
      <c r="B4" s="4" t="s">
        <v>454</v>
      </c>
      <c r="C4" s="5" t="s">
        <v>455</v>
      </c>
      <c r="D4" s="5" t="s">
        <v>456</v>
      </c>
      <c r="E4" s="4">
        <v>5</v>
      </c>
      <c r="F4" s="4">
        <v>4</v>
      </c>
      <c r="G4" s="6" t="s">
        <v>457</v>
      </c>
      <c r="H4" s="24">
        <f t="shared" ref="H4:H15" si="0">E4-F4</f>
        <v>1</v>
      </c>
      <c r="I4" s="6" t="str">
        <f t="shared" ref="I4:I15" si="1">IF(E4-F4&gt;=3,"🔴 Urgente",IF(E4-F4&gt;=1,"🟡 Media","🟢 Rutinaria"))</f>
        <v>🟡 Media</v>
      </c>
    </row>
    <row r="5" spans="1:9" ht="30" customHeight="1" x14ac:dyDescent="0.3">
      <c r="A5" s="25">
        <v>2</v>
      </c>
      <c r="B5" s="8" t="s">
        <v>458</v>
      </c>
      <c r="C5" s="9" t="s">
        <v>459</v>
      </c>
      <c r="D5" s="9" t="s">
        <v>460</v>
      </c>
      <c r="E5" s="8">
        <v>5</v>
      </c>
      <c r="F5" s="8">
        <v>3</v>
      </c>
      <c r="G5" s="10" t="s">
        <v>461</v>
      </c>
      <c r="H5" s="25">
        <f t="shared" si="0"/>
        <v>2</v>
      </c>
      <c r="I5" s="10" t="str">
        <f t="shared" si="1"/>
        <v>🟡 Media</v>
      </c>
    </row>
    <row r="6" spans="1:9" ht="30" customHeight="1" x14ac:dyDescent="0.3">
      <c r="A6" s="24">
        <v>3</v>
      </c>
      <c r="B6" s="4" t="s">
        <v>462</v>
      </c>
      <c r="C6" s="5" t="s">
        <v>463</v>
      </c>
      <c r="D6" s="5" t="s">
        <v>464</v>
      </c>
      <c r="E6" s="4">
        <v>4</v>
      </c>
      <c r="F6" s="4">
        <v>4</v>
      </c>
      <c r="G6" s="6" t="s">
        <v>465</v>
      </c>
      <c r="H6" s="24">
        <f t="shared" si="0"/>
        <v>0</v>
      </c>
      <c r="I6" s="6" t="str">
        <f t="shared" si="1"/>
        <v>🟢 Rutinaria</v>
      </c>
    </row>
    <row r="7" spans="1:9" ht="30" customHeight="1" x14ac:dyDescent="0.3">
      <c r="A7" s="25">
        <v>4</v>
      </c>
      <c r="B7" s="8" t="s">
        <v>466</v>
      </c>
      <c r="C7" s="9" t="s">
        <v>171</v>
      </c>
      <c r="D7" s="9" t="s">
        <v>467</v>
      </c>
      <c r="E7" s="8">
        <v>4</v>
      </c>
      <c r="F7" s="8">
        <v>3</v>
      </c>
      <c r="G7" s="10" t="s">
        <v>468</v>
      </c>
      <c r="H7" s="25">
        <f t="shared" si="0"/>
        <v>1</v>
      </c>
      <c r="I7" s="10" t="str">
        <f t="shared" si="1"/>
        <v>🟡 Media</v>
      </c>
    </row>
    <row r="8" spans="1:9" ht="30" customHeight="1" x14ac:dyDescent="0.3">
      <c r="A8" s="24">
        <v>5</v>
      </c>
      <c r="B8" s="4" t="s">
        <v>469</v>
      </c>
      <c r="C8" s="5" t="s">
        <v>470</v>
      </c>
      <c r="D8" s="5" t="s">
        <v>471</v>
      </c>
      <c r="E8" s="4">
        <v>4</v>
      </c>
      <c r="F8" s="4">
        <v>3</v>
      </c>
      <c r="G8" s="6" t="s">
        <v>472</v>
      </c>
      <c r="H8" s="24">
        <f t="shared" si="0"/>
        <v>1</v>
      </c>
      <c r="I8" s="6" t="str">
        <f t="shared" si="1"/>
        <v>🟡 Media</v>
      </c>
    </row>
    <row r="9" spans="1:9" ht="30" customHeight="1" x14ac:dyDescent="0.3">
      <c r="A9" s="25">
        <v>6</v>
      </c>
      <c r="B9" s="8" t="s">
        <v>473</v>
      </c>
      <c r="C9" s="9" t="s">
        <v>455</v>
      </c>
      <c r="D9" s="9" t="s">
        <v>474</v>
      </c>
      <c r="E9" s="8">
        <v>3</v>
      </c>
      <c r="F9" s="8">
        <v>4</v>
      </c>
      <c r="G9" s="10" t="s">
        <v>475</v>
      </c>
      <c r="H9" s="25">
        <f t="shared" si="0"/>
        <v>-1</v>
      </c>
      <c r="I9" s="10" t="str">
        <f t="shared" si="1"/>
        <v>🟢 Rutinaria</v>
      </c>
    </row>
    <row r="10" spans="1:9" ht="30" customHeight="1" x14ac:dyDescent="0.3">
      <c r="A10" s="24">
        <v>7</v>
      </c>
      <c r="B10" s="4" t="s">
        <v>167</v>
      </c>
      <c r="C10" s="5" t="s">
        <v>455</v>
      </c>
      <c r="D10" s="5" t="s">
        <v>476</v>
      </c>
      <c r="E10" s="4">
        <v>5</v>
      </c>
      <c r="F10" s="4">
        <v>3</v>
      </c>
      <c r="G10" s="6" t="s">
        <v>477</v>
      </c>
      <c r="H10" s="24">
        <f t="shared" si="0"/>
        <v>2</v>
      </c>
      <c r="I10" s="6" t="str">
        <f t="shared" si="1"/>
        <v>🟡 Media</v>
      </c>
    </row>
    <row r="11" spans="1:9" ht="30" customHeight="1" x14ac:dyDescent="0.3">
      <c r="A11" s="25">
        <v>8</v>
      </c>
      <c r="B11" s="8" t="s">
        <v>478</v>
      </c>
      <c r="C11" s="9" t="s">
        <v>479</v>
      </c>
      <c r="D11" s="9" t="s">
        <v>480</v>
      </c>
      <c r="E11" s="8">
        <v>4</v>
      </c>
      <c r="F11" s="8">
        <v>2</v>
      </c>
      <c r="G11" s="10" t="s">
        <v>481</v>
      </c>
      <c r="H11" s="25">
        <f t="shared" si="0"/>
        <v>2</v>
      </c>
      <c r="I11" s="10" t="str">
        <f t="shared" si="1"/>
        <v>🟡 Media</v>
      </c>
    </row>
    <row r="12" spans="1:9" ht="30" customHeight="1" x14ac:dyDescent="0.3">
      <c r="A12" s="24">
        <v>9</v>
      </c>
      <c r="B12" s="4" t="s">
        <v>482</v>
      </c>
      <c r="C12" s="5" t="s">
        <v>483</v>
      </c>
      <c r="D12" s="5" t="s">
        <v>484</v>
      </c>
      <c r="E12" s="4">
        <v>3</v>
      </c>
      <c r="F12" s="4">
        <v>3</v>
      </c>
      <c r="G12" s="6" t="s">
        <v>485</v>
      </c>
      <c r="H12" s="24">
        <f t="shared" si="0"/>
        <v>0</v>
      </c>
      <c r="I12" s="6" t="str">
        <f t="shared" si="1"/>
        <v>🟢 Rutinaria</v>
      </c>
    </row>
    <row r="13" spans="1:9" ht="30" customHeight="1" x14ac:dyDescent="0.3">
      <c r="A13" s="25">
        <v>10</v>
      </c>
      <c r="B13" s="8" t="s">
        <v>486</v>
      </c>
      <c r="C13" s="9" t="s">
        <v>487</v>
      </c>
      <c r="D13" s="9" t="s">
        <v>488</v>
      </c>
      <c r="E13" s="8">
        <v>4</v>
      </c>
      <c r="F13" s="8">
        <v>3</v>
      </c>
      <c r="G13" s="10" t="s">
        <v>489</v>
      </c>
      <c r="H13" s="25">
        <f t="shared" si="0"/>
        <v>1</v>
      </c>
      <c r="I13" s="10" t="str">
        <f t="shared" si="1"/>
        <v>🟡 Media</v>
      </c>
    </row>
    <row r="14" spans="1:9" ht="30" customHeight="1" x14ac:dyDescent="0.3">
      <c r="A14" s="24">
        <v>11</v>
      </c>
      <c r="B14" s="4" t="s">
        <v>490</v>
      </c>
      <c r="C14" s="5" t="s">
        <v>491</v>
      </c>
      <c r="D14" s="5" t="s">
        <v>492</v>
      </c>
      <c r="E14" s="4">
        <v>4</v>
      </c>
      <c r="F14" s="4">
        <v>3</v>
      </c>
      <c r="G14" s="6" t="s">
        <v>493</v>
      </c>
      <c r="H14" s="24">
        <f t="shared" si="0"/>
        <v>1</v>
      </c>
      <c r="I14" s="6" t="str">
        <f t="shared" si="1"/>
        <v>🟡 Media</v>
      </c>
    </row>
    <row r="15" spans="1:9" ht="30" customHeight="1" x14ac:dyDescent="0.3">
      <c r="A15" s="25">
        <v>12</v>
      </c>
      <c r="B15" s="8" t="s">
        <v>494</v>
      </c>
      <c r="C15" s="9" t="s">
        <v>495</v>
      </c>
      <c r="D15" s="9" t="s">
        <v>496</v>
      </c>
      <c r="E15" s="8">
        <v>3</v>
      </c>
      <c r="F15" s="8">
        <v>2</v>
      </c>
      <c r="G15" s="10" t="s">
        <v>497</v>
      </c>
      <c r="H15" s="25">
        <f t="shared" si="0"/>
        <v>1</v>
      </c>
      <c r="I15" s="10" t="str">
        <f t="shared" si="1"/>
        <v>🟡 Media</v>
      </c>
    </row>
    <row r="18" spans="1:3" x14ac:dyDescent="0.3">
      <c r="A18" s="36" t="s">
        <v>446</v>
      </c>
      <c r="B18" s="117" t="s">
        <v>498</v>
      </c>
      <c r="C18" s="36" t="s">
        <v>499</v>
      </c>
    </row>
    <row r="19" spans="1:3" x14ac:dyDescent="0.3">
      <c r="A19" t="s">
        <v>500</v>
      </c>
      <c r="B19" s="116">
        <v>4</v>
      </c>
      <c r="C19" t="s">
        <v>457</v>
      </c>
    </row>
    <row r="20" spans="1:3" x14ac:dyDescent="0.3">
      <c r="A20" t="s">
        <v>501</v>
      </c>
      <c r="B20" s="116">
        <v>3</v>
      </c>
      <c r="C20" t="s">
        <v>461</v>
      </c>
    </row>
    <row r="21" spans="1:3" x14ac:dyDescent="0.3">
      <c r="A21" t="s">
        <v>462</v>
      </c>
      <c r="B21" s="116">
        <v>4</v>
      </c>
      <c r="C21" t="s">
        <v>465</v>
      </c>
    </row>
    <row r="22" spans="1:3" x14ac:dyDescent="0.3">
      <c r="A22" t="s">
        <v>502</v>
      </c>
      <c r="B22" s="116">
        <v>3</v>
      </c>
      <c r="C22" t="s">
        <v>468</v>
      </c>
    </row>
    <row r="23" spans="1:3" x14ac:dyDescent="0.3">
      <c r="A23" t="s">
        <v>503</v>
      </c>
      <c r="B23" s="116">
        <v>3</v>
      </c>
      <c r="C23" t="s">
        <v>472</v>
      </c>
    </row>
    <row r="24" spans="1:3" x14ac:dyDescent="0.3">
      <c r="A24" t="s">
        <v>473</v>
      </c>
      <c r="B24" s="116">
        <v>4</v>
      </c>
      <c r="C24" t="s">
        <v>475</v>
      </c>
    </row>
    <row r="25" spans="1:3" x14ac:dyDescent="0.3">
      <c r="A25" t="s">
        <v>167</v>
      </c>
      <c r="B25" s="116">
        <v>3</v>
      </c>
      <c r="C25" t="s">
        <v>477</v>
      </c>
    </row>
    <row r="26" spans="1:3" x14ac:dyDescent="0.3">
      <c r="A26" t="s">
        <v>478</v>
      </c>
      <c r="B26" s="116">
        <v>2</v>
      </c>
      <c r="C26" t="s">
        <v>481</v>
      </c>
    </row>
    <row r="27" spans="1:3" x14ac:dyDescent="0.3">
      <c r="A27" t="s">
        <v>504</v>
      </c>
      <c r="B27" s="116">
        <v>3</v>
      </c>
      <c r="C27" t="s">
        <v>485</v>
      </c>
    </row>
    <row r="28" spans="1:3" x14ac:dyDescent="0.3">
      <c r="A28" t="s">
        <v>486</v>
      </c>
      <c r="B28" s="116">
        <v>3</v>
      </c>
      <c r="C28" t="s">
        <v>489</v>
      </c>
    </row>
    <row r="29" spans="1:3" x14ac:dyDescent="0.3">
      <c r="A29" t="s">
        <v>505</v>
      </c>
      <c r="B29" s="116">
        <v>3</v>
      </c>
      <c r="C29" t="s">
        <v>493</v>
      </c>
    </row>
    <row r="30" spans="1:3" x14ac:dyDescent="0.3">
      <c r="A30" t="s">
        <v>506</v>
      </c>
      <c r="B30" s="116">
        <v>2</v>
      </c>
      <c r="C30" t="s">
        <v>497</v>
      </c>
    </row>
  </sheetData>
  <mergeCells count="1">
    <mergeCell ref="A1:I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5FA5"/>
  </sheetPr>
  <dimension ref="A1:N115"/>
  <sheetViews>
    <sheetView showGridLines="0" workbookViewId="0">
      <pane ySplit="4" topLeftCell="A5" activePane="bottomLeft" state="frozen"/>
      <selection pane="bottomLeft" activeCell="B63" sqref="B63"/>
    </sheetView>
  </sheetViews>
  <sheetFormatPr defaultRowHeight="14.4" x14ac:dyDescent="0.3"/>
  <cols>
    <col min="1" max="1" width="18" bestFit="1" customWidth="1"/>
    <col min="2" max="2" width="26" customWidth="1"/>
    <col min="3" max="3" width="20" customWidth="1"/>
    <col min="4" max="11" width="14" customWidth="1"/>
    <col min="12" max="12" width="16" customWidth="1"/>
    <col min="14" max="14" width="12" customWidth="1"/>
  </cols>
  <sheetData>
    <row r="1" spans="1:12" ht="28.05" customHeight="1" x14ac:dyDescent="0.3">
      <c r="A1" s="101" t="s">
        <v>507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ht="28.05" customHeight="1" x14ac:dyDescent="0.3">
      <c r="A2" s="106" t="s">
        <v>508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4" spans="1:12" ht="22.05" customHeight="1" x14ac:dyDescent="0.3">
      <c r="A4" s="113" t="s">
        <v>509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ht="31.95" customHeight="1" x14ac:dyDescent="0.3">
      <c r="A5" s="66" t="s">
        <v>118</v>
      </c>
      <c r="B5" s="66" t="s">
        <v>510</v>
      </c>
      <c r="C5" s="66" t="s">
        <v>511</v>
      </c>
      <c r="D5" s="66" t="s">
        <v>512</v>
      </c>
      <c r="E5" s="66" t="s">
        <v>513</v>
      </c>
      <c r="F5" s="66" t="s">
        <v>514</v>
      </c>
      <c r="G5" s="66" t="s">
        <v>515</v>
      </c>
      <c r="H5" s="66" t="s">
        <v>516</v>
      </c>
      <c r="I5" s="66" t="s">
        <v>517</v>
      </c>
      <c r="J5" s="66" t="s">
        <v>518</v>
      </c>
      <c r="K5" s="3" t="s">
        <v>519</v>
      </c>
      <c r="L5" s="3" t="s">
        <v>520</v>
      </c>
    </row>
    <row r="6" spans="1:12" ht="25.95" customHeight="1" x14ac:dyDescent="0.3">
      <c r="A6" s="67">
        <v>1</v>
      </c>
      <c r="B6" s="68" t="s">
        <v>521</v>
      </c>
      <c r="C6" s="68" t="s">
        <v>522</v>
      </c>
      <c r="D6" s="69">
        <v>500000</v>
      </c>
      <c r="E6" s="70">
        <v>5</v>
      </c>
      <c r="F6" s="70">
        <v>10</v>
      </c>
      <c r="G6" s="70">
        <v>20</v>
      </c>
      <c r="H6" s="70">
        <v>40</v>
      </c>
      <c r="I6" s="68" t="s">
        <v>165</v>
      </c>
      <c r="J6" s="70" t="s">
        <v>291</v>
      </c>
      <c r="K6" s="70"/>
      <c r="L6" s="71" t="str">
        <f t="shared" ref="L6:L15" si="0">IF(K6="","Sin datos",IF(K6&gt;H6,"CRÍTICO",IF(K6&gt;G6,"ALTO",IF(K6&gt;F6,"MEDIO",IF(K6&gt;E6,"BAJO","NORMAL")))))</f>
        <v>Sin datos</v>
      </c>
    </row>
    <row r="7" spans="1:12" ht="25.95" customHeight="1" x14ac:dyDescent="0.3">
      <c r="A7" s="72">
        <v>2</v>
      </c>
      <c r="B7" s="73" t="s">
        <v>523</v>
      </c>
      <c r="C7" s="73" t="s">
        <v>490</v>
      </c>
      <c r="D7" s="74">
        <v>800000</v>
      </c>
      <c r="E7" s="75">
        <v>8</v>
      </c>
      <c r="F7" s="75">
        <v>15</v>
      </c>
      <c r="G7" s="75">
        <v>30</v>
      </c>
      <c r="H7" s="75">
        <v>60</v>
      </c>
      <c r="I7" s="73" t="s">
        <v>524</v>
      </c>
      <c r="J7" s="75" t="s">
        <v>291</v>
      </c>
      <c r="K7" s="75"/>
      <c r="L7" s="76" t="str">
        <f t="shared" si="0"/>
        <v>Sin datos</v>
      </c>
    </row>
    <row r="8" spans="1:12" ht="25.95" customHeight="1" x14ac:dyDescent="0.3">
      <c r="A8" s="67">
        <v>3</v>
      </c>
      <c r="B8" s="68" t="s">
        <v>525</v>
      </c>
      <c r="C8" s="68" t="s">
        <v>522</v>
      </c>
      <c r="D8" s="69">
        <v>600000</v>
      </c>
      <c r="E8" s="70">
        <v>3</v>
      </c>
      <c r="F8" s="70">
        <v>8</v>
      </c>
      <c r="G8" s="70">
        <v>18</v>
      </c>
      <c r="H8" s="70">
        <v>35</v>
      </c>
      <c r="I8" s="68" t="s">
        <v>526</v>
      </c>
      <c r="J8" s="70" t="s">
        <v>291</v>
      </c>
      <c r="K8" s="70"/>
      <c r="L8" s="71" t="str">
        <f t="shared" si="0"/>
        <v>Sin datos</v>
      </c>
    </row>
    <row r="9" spans="1:12" ht="25.95" customHeight="1" x14ac:dyDescent="0.3">
      <c r="A9" s="72">
        <v>4</v>
      </c>
      <c r="B9" s="73" t="s">
        <v>527</v>
      </c>
      <c r="C9" s="73" t="s">
        <v>490</v>
      </c>
      <c r="D9" s="74">
        <v>200000</v>
      </c>
      <c r="E9" s="75">
        <v>15</v>
      </c>
      <c r="F9" s="75">
        <v>25</v>
      </c>
      <c r="G9" s="75">
        <v>50</v>
      </c>
      <c r="H9" s="75">
        <v>80</v>
      </c>
      <c r="I9" s="73" t="s">
        <v>528</v>
      </c>
      <c r="J9" s="75" t="s">
        <v>291</v>
      </c>
      <c r="K9" s="75"/>
      <c r="L9" s="76" t="str">
        <f t="shared" si="0"/>
        <v>Sin datos</v>
      </c>
    </row>
    <row r="10" spans="1:12" ht="25.95" customHeight="1" x14ac:dyDescent="0.3">
      <c r="A10" s="67">
        <v>5</v>
      </c>
      <c r="B10" s="68" t="s">
        <v>529</v>
      </c>
      <c r="C10" s="68" t="s">
        <v>167</v>
      </c>
      <c r="D10" s="69">
        <v>700000</v>
      </c>
      <c r="E10" s="70">
        <v>2</v>
      </c>
      <c r="F10" s="70">
        <v>6</v>
      </c>
      <c r="G10" s="70">
        <v>12</v>
      </c>
      <c r="H10" s="70">
        <v>25</v>
      </c>
      <c r="I10" s="68" t="s">
        <v>530</v>
      </c>
      <c r="J10" s="70" t="s">
        <v>291</v>
      </c>
      <c r="K10" s="70"/>
      <c r="L10" s="71" t="str">
        <f t="shared" si="0"/>
        <v>Sin datos</v>
      </c>
    </row>
    <row r="11" spans="1:12" ht="25.95" customHeight="1" x14ac:dyDescent="0.3">
      <c r="A11" s="72">
        <v>6</v>
      </c>
      <c r="B11" s="73" t="s">
        <v>531</v>
      </c>
      <c r="C11" s="73" t="s">
        <v>532</v>
      </c>
      <c r="D11" s="74">
        <v>400000</v>
      </c>
      <c r="E11" s="75">
        <v>6</v>
      </c>
      <c r="F11" s="75">
        <v>12</v>
      </c>
      <c r="G11" s="75">
        <v>25</v>
      </c>
      <c r="H11" s="75">
        <v>50</v>
      </c>
      <c r="I11" s="73" t="s">
        <v>165</v>
      </c>
      <c r="J11" s="75" t="s">
        <v>321</v>
      </c>
      <c r="K11" s="75"/>
      <c r="L11" s="76" t="str">
        <f t="shared" si="0"/>
        <v>Sin datos</v>
      </c>
    </row>
    <row r="12" spans="1:12" ht="25.95" customHeight="1" x14ac:dyDescent="0.3">
      <c r="A12" s="67">
        <v>7</v>
      </c>
      <c r="B12" s="68" t="s">
        <v>533</v>
      </c>
      <c r="C12" s="68" t="s">
        <v>202</v>
      </c>
      <c r="D12" s="69">
        <v>300000</v>
      </c>
      <c r="E12" s="70">
        <v>10</v>
      </c>
      <c r="F12" s="70">
        <v>20</v>
      </c>
      <c r="G12" s="70">
        <v>35</v>
      </c>
      <c r="H12" s="70">
        <v>60</v>
      </c>
      <c r="I12" s="68" t="s">
        <v>534</v>
      </c>
      <c r="J12" s="70" t="s">
        <v>316</v>
      </c>
      <c r="K12" s="70"/>
      <c r="L12" s="71" t="str">
        <f t="shared" si="0"/>
        <v>Sin datos</v>
      </c>
    </row>
    <row r="13" spans="1:12" ht="25.95" customHeight="1" x14ac:dyDescent="0.3">
      <c r="A13" s="72">
        <v>8</v>
      </c>
      <c r="B13" s="73" t="s">
        <v>535</v>
      </c>
      <c r="C13" s="73" t="s">
        <v>462</v>
      </c>
      <c r="D13" s="74">
        <v>900000</v>
      </c>
      <c r="E13" s="75">
        <v>1</v>
      </c>
      <c r="F13" s="75">
        <v>3</v>
      </c>
      <c r="G13" s="75">
        <v>8</v>
      </c>
      <c r="H13" s="75">
        <v>15</v>
      </c>
      <c r="I13" s="73" t="s">
        <v>158</v>
      </c>
      <c r="J13" s="75" t="s">
        <v>310</v>
      </c>
      <c r="K13" s="75"/>
      <c r="L13" s="76" t="str">
        <f t="shared" si="0"/>
        <v>Sin datos</v>
      </c>
    </row>
    <row r="14" spans="1:12" ht="25.95" customHeight="1" x14ac:dyDescent="0.3">
      <c r="A14" s="67">
        <v>9</v>
      </c>
      <c r="B14" s="68" t="s">
        <v>536</v>
      </c>
      <c r="C14" s="68" t="s">
        <v>522</v>
      </c>
      <c r="D14" s="69">
        <v>250000</v>
      </c>
      <c r="E14" s="70">
        <v>2</v>
      </c>
      <c r="F14" s="70">
        <v>5</v>
      </c>
      <c r="G14" s="70">
        <v>10</v>
      </c>
      <c r="H14" s="70">
        <v>20</v>
      </c>
      <c r="I14" s="68" t="s">
        <v>526</v>
      </c>
      <c r="J14" s="70" t="s">
        <v>291</v>
      </c>
      <c r="K14" s="70"/>
      <c r="L14" s="71" t="str">
        <f t="shared" si="0"/>
        <v>Sin datos</v>
      </c>
    </row>
    <row r="15" spans="1:12" ht="25.95" customHeight="1" x14ac:dyDescent="0.3">
      <c r="A15" s="72">
        <v>10</v>
      </c>
      <c r="B15" s="73" t="s">
        <v>537</v>
      </c>
      <c r="C15" s="73" t="s">
        <v>473</v>
      </c>
      <c r="D15" s="74">
        <v>350000</v>
      </c>
      <c r="E15" s="75">
        <v>5</v>
      </c>
      <c r="F15" s="75">
        <v>12</v>
      </c>
      <c r="G15" s="75">
        <v>22</v>
      </c>
      <c r="H15" s="75">
        <v>45</v>
      </c>
      <c r="I15" s="73" t="s">
        <v>538</v>
      </c>
      <c r="J15" s="75" t="s">
        <v>316</v>
      </c>
      <c r="K15" s="75"/>
      <c r="L15" s="76" t="str">
        <f t="shared" si="0"/>
        <v>Sin datos</v>
      </c>
    </row>
    <row r="17" spans="1:14" ht="28.05" customHeight="1" x14ac:dyDescent="0.3">
      <c r="A17" s="115" t="s">
        <v>539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</row>
    <row r="19" spans="1:14" ht="22.05" customHeight="1" x14ac:dyDescent="0.3">
      <c r="A19" s="113" t="s">
        <v>540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14" ht="31.95" customHeight="1" x14ac:dyDescent="0.3">
      <c r="A20" s="3" t="s">
        <v>541</v>
      </c>
      <c r="B20" s="3" t="s">
        <v>542</v>
      </c>
      <c r="C20" s="3" t="s">
        <v>543</v>
      </c>
      <c r="D20" s="3" t="s">
        <v>544</v>
      </c>
      <c r="E20" s="3" t="s">
        <v>545</v>
      </c>
      <c r="F20" s="3" t="s">
        <v>546</v>
      </c>
      <c r="G20" s="3" t="s">
        <v>547</v>
      </c>
      <c r="H20" s="3" t="s">
        <v>548</v>
      </c>
      <c r="I20" s="3" t="s">
        <v>549</v>
      </c>
      <c r="J20" s="3" t="s">
        <v>550</v>
      </c>
      <c r="K20" s="3" t="s">
        <v>551</v>
      </c>
      <c r="L20" s="3" t="s">
        <v>552</v>
      </c>
      <c r="M20" s="3" t="s">
        <v>553</v>
      </c>
      <c r="N20" s="3" t="s">
        <v>554</v>
      </c>
    </row>
    <row r="21" spans="1:14" ht="19.95" customHeight="1" x14ac:dyDescent="0.3">
      <c r="A21" s="77" t="s">
        <v>555</v>
      </c>
      <c r="B21" s="78">
        <v>3</v>
      </c>
      <c r="C21" s="78">
        <v>4</v>
      </c>
      <c r="D21" s="78">
        <v>5</v>
      </c>
      <c r="E21" s="78">
        <v>4</v>
      </c>
      <c r="F21" s="78">
        <v>6</v>
      </c>
      <c r="G21" s="78">
        <v>8</v>
      </c>
      <c r="H21" s="78">
        <v>7</v>
      </c>
      <c r="I21" s="78">
        <v>6</v>
      </c>
      <c r="J21" s="78">
        <v>5</v>
      </c>
      <c r="K21" s="78">
        <v>4</v>
      </c>
      <c r="L21" s="78"/>
      <c r="M21" s="78"/>
      <c r="N21" s="79">
        <f>IFERROR(AVERAGE(B21:M21),0)</f>
        <v>5.2</v>
      </c>
    </row>
    <row r="22" spans="1:14" ht="19.95" customHeight="1" x14ac:dyDescent="0.3">
      <c r="A22" s="80" t="s">
        <v>556</v>
      </c>
      <c r="B22" s="81">
        <v>9</v>
      </c>
      <c r="C22" s="81">
        <v>11</v>
      </c>
      <c r="D22" s="81">
        <v>10</v>
      </c>
      <c r="E22" s="81">
        <v>12</v>
      </c>
      <c r="F22" s="81">
        <v>13</v>
      </c>
      <c r="G22" s="81">
        <v>15</v>
      </c>
      <c r="H22" s="81">
        <v>14</v>
      </c>
      <c r="I22" s="81">
        <v>12</v>
      </c>
      <c r="J22" s="81">
        <v>11</v>
      </c>
      <c r="K22" s="81">
        <v>10</v>
      </c>
      <c r="L22" s="81"/>
      <c r="M22" s="81"/>
      <c r="N22" s="79">
        <f>IFERROR(AVERAGE(B22:M22),0)</f>
        <v>11.7</v>
      </c>
    </row>
    <row r="23" spans="1:14" ht="19.95" customHeight="1" x14ac:dyDescent="0.3">
      <c r="A23" s="77" t="s">
        <v>557</v>
      </c>
      <c r="B23" s="78">
        <v>2</v>
      </c>
      <c r="C23" s="78">
        <v>2</v>
      </c>
      <c r="D23" s="78">
        <v>3</v>
      </c>
      <c r="E23" s="78">
        <v>2</v>
      </c>
      <c r="F23" s="78">
        <v>4</v>
      </c>
      <c r="G23" s="78">
        <v>5</v>
      </c>
      <c r="H23" s="78">
        <v>4</v>
      </c>
      <c r="I23" s="78">
        <v>3</v>
      </c>
      <c r="J23" s="78">
        <v>2</v>
      </c>
      <c r="K23" s="78">
        <v>2</v>
      </c>
      <c r="L23" s="78"/>
      <c r="M23" s="78"/>
      <c r="N23" s="79">
        <f>IFERROR(AVERAGE(B23:M23),0)</f>
        <v>2.9</v>
      </c>
    </row>
    <row r="24" spans="1:14" ht="19.95" customHeight="1" x14ac:dyDescent="0.3">
      <c r="A24" s="80" t="s">
        <v>527</v>
      </c>
      <c r="B24" s="81">
        <v>18</v>
      </c>
      <c r="C24" s="81">
        <v>20</v>
      </c>
      <c r="D24" s="81">
        <v>22</v>
      </c>
      <c r="E24" s="81">
        <v>19</v>
      </c>
      <c r="F24" s="81">
        <v>21</v>
      </c>
      <c r="G24" s="81">
        <v>25</v>
      </c>
      <c r="H24" s="81">
        <v>24</v>
      </c>
      <c r="I24" s="81">
        <v>20</v>
      </c>
      <c r="J24" s="81">
        <v>18</v>
      </c>
      <c r="K24" s="81">
        <v>17</v>
      </c>
      <c r="L24" s="81"/>
      <c r="M24" s="81"/>
      <c r="N24" s="79">
        <f>IFERROR(AVERAGE(B24:M24),0)</f>
        <v>20.399999999999999</v>
      </c>
    </row>
    <row r="25" spans="1:14" ht="19.95" customHeight="1" x14ac:dyDescent="0.3">
      <c r="A25" s="77" t="s">
        <v>558</v>
      </c>
      <c r="B25" s="78">
        <v>1</v>
      </c>
      <c r="C25" s="78">
        <v>2</v>
      </c>
      <c r="D25" s="78">
        <v>1</v>
      </c>
      <c r="E25" s="78">
        <v>2</v>
      </c>
      <c r="F25" s="78">
        <v>3</v>
      </c>
      <c r="G25" s="78">
        <v>4</v>
      </c>
      <c r="H25" s="78">
        <v>3</v>
      </c>
      <c r="I25" s="78">
        <v>2</v>
      </c>
      <c r="J25" s="78">
        <v>1</v>
      </c>
      <c r="K25" s="78">
        <v>1</v>
      </c>
      <c r="L25" s="78"/>
      <c r="M25" s="78"/>
      <c r="N25" s="79">
        <f>IFERROR(AVERAGE(B25:M25),0)</f>
        <v>2</v>
      </c>
    </row>
    <row r="74" spans="1:12" ht="22.05" customHeight="1" x14ac:dyDescent="0.3">
      <c r="A74" s="113" t="s">
        <v>559</v>
      </c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</row>
    <row r="75" spans="1:12" ht="31.95" customHeight="1" x14ac:dyDescent="0.3">
      <c r="A75" s="66" t="s">
        <v>541</v>
      </c>
      <c r="B75" s="66" t="s">
        <v>560</v>
      </c>
      <c r="C75" s="66" t="s">
        <v>561</v>
      </c>
      <c r="D75" s="66" t="s">
        <v>562</v>
      </c>
      <c r="E75" s="66" t="s">
        <v>563</v>
      </c>
      <c r="F75" s="66" t="s">
        <v>564</v>
      </c>
      <c r="G75" s="66" t="s">
        <v>565</v>
      </c>
      <c r="H75" s="66" t="s">
        <v>566</v>
      </c>
      <c r="I75" s="66" t="s">
        <v>567</v>
      </c>
      <c r="J75" s="66" t="s">
        <v>568</v>
      </c>
      <c r="K75" s="66" t="s">
        <v>569</v>
      </c>
      <c r="L75" s="66"/>
    </row>
    <row r="76" spans="1:12" ht="28.05" customHeight="1" x14ac:dyDescent="0.3">
      <c r="A76" s="82" t="s">
        <v>521</v>
      </c>
      <c r="B76" s="67" t="s">
        <v>570</v>
      </c>
      <c r="C76" s="67" t="s">
        <v>571</v>
      </c>
      <c r="D76" s="67">
        <f t="shared" ref="D76:D83" si="1">MAX(0,K6-G6)</f>
        <v>0</v>
      </c>
      <c r="E76" s="83">
        <f t="shared" ref="E76:E83" si="2">IFERROR((K6/10000)*D6,0)</f>
        <v>0</v>
      </c>
      <c r="F76" s="82" t="s">
        <v>522</v>
      </c>
      <c r="G76" s="67">
        <f t="shared" ref="G76:G83" si="3">IFERROR(IF(K6&gt;G6,ROUND((K6/G6)*10,0),0),0)</f>
        <v>0</v>
      </c>
      <c r="H76" s="82" t="str">
        <f t="shared" ref="H76:H83" si="4">IF(K6="","—",IF(K6&gt;H6,"CRÍTICO",IF(K6&gt;G6,"ALTO",IF(K6&gt;F6,"MEDIO","NORMAL"))))</f>
        <v>—</v>
      </c>
      <c r="I76" s="82" t="str">
        <f t="shared" ref="I76:I83" si="5">IF(K6="","—",IF(K6&gt;H6,"Bloquear canal + investigar",IF(K6&gt;G6,"Revisar transacciones 24h",IF(K6&gt;F6,"Monitoreo reforzado","Seguimiento normal"))))</f>
        <v>—</v>
      </c>
      <c r="J76" s="68"/>
      <c r="K76" s="82" t="s">
        <v>165</v>
      </c>
      <c r="L76" s="82"/>
    </row>
    <row r="77" spans="1:12" ht="28.05" customHeight="1" x14ac:dyDescent="0.3">
      <c r="A77" s="84" t="s">
        <v>523</v>
      </c>
      <c r="B77" s="72" t="s">
        <v>572</v>
      </c>
      <c r="C77" s="72" t="s">
        <v>573</v>
      </c>
      <c r="D77" s="72">
        <f t="shared" si="1"/>
        <v>0</v>
      </c>
      <c r="E77" s="85">
        <f t="shared" si="2"/>
        <v>0</v>
      </c>
      <c r="F77" s="84" t="s">
        <v>490</v>
      </c>
      <c r="G77" s="72">
        <f t="shared" si="3"/>
        <v>0</v>
      </c>
      <c r="H77" s="84" t="str">
        <f t="shared" si="4"/>
        <v>—</v>
      </c>
      <c r="I77" s="84" t="str">
        <f t="shared" si="5"/>
        <v>—</v>
      </c>
      <c r="J77" s="73"/>
      <c r="K77" s="84" t="s">
        <v>524</v>
      </c>
      <c r="L77" s="84"/>
    </row>
    <row r="78" spans="1:12" ht="28.05" customHeight="1" x14ac:dyDescent="0.3">
      <c r="A78" s="82" t="s">
        <v>525</v>
      </c>
      <c r="B78" s="67" t="s">
        <v>574</v>
      </c>
      <c r="C78" s="67" t="s">
        <v>575</v>
      </c>
      <c r="D78" s="67">
        <f t="shared" si="1"/>
        <v>0</v>
      </c>
      <c r="E78" s="83">
        <f t="shared" si="2"/>
        <v>0</v>
      </c>
      <c r="F78" s="82" t="s">
        <v>522</v>
      </c>
      <c r="G78" s="67">
        <f t="shared" si="3"/>
        <v>0</v>
      </c>
      <c r="H78" s="82" t="str">
        <f t="shared" si="4"/>
        <v>—</v>
      </c>
      <c r="I78" s="82" t="str">
        <f t="shared" si="5"/>
        <v>—</v>
      </c>
      <c r="J78" s="68"/>
      <c r="K78" s="82" t="s">
        <v>526</v>
      </c>
      <c r="L78" s="82"/>
    </row>
    <row r="79" spans="1:12" ht="28.05" customHeight="1" x14ac:dyDescent="0.3">
      <c r="A79" s="84" t="s">
        <v>527</v>
      </c>
      <c r="B79" s="72" t="s">
        <v>576</v>
      </c>
      <c r="C79" s="72" t="s">
        <v>577</v>
      </c>
      <c r="D79" s="72">
        <f t="shared" si="1"/>
        <v>0</v>
      </c>
      <c r="E79" s="85">
        <f t="shared" si="2"/>
        <v>0</v>
      </c>
      <c r="F79" s="84" t="s">
        <v>490</v>
      </c>
      <c r="G79" s="72">
        <f t="shared" si="3"/>
        <v>0</v>
      </c>
      <c r="H79" s="84" t="str">
        <f t="shared" si="4"/>
        <v>—</v>
      </c>
      <c r="I79" s="84" t="str">
        <f t="shared" si="5"/>
        <v>—</v>
      </c>
      <c r="J79" s="73"/>
      <c r="K79" s="84" t="s">
        <v>528</v>
      </c>
      <c r="L79" s="84"/>
    </row>
    <row r="80" spans="1:12" ht="28.05" customHeight="1" x14ac:dyDescent="0.3">
      <c r="A80" s="82" t="s">
        <v>529</v>
      </c>
      <c r="B80" s="67" t="s">
        <v>578</v>
      </c>
      <c r="C80" s="67" t="s">
        <v>579</v>
      </c>
      <c r="D80" s="67">
        <f t="shared" si="1"/>
        <v>0</v>
      </c>
      <c r="E80" s="83">
        <f t="shared" si="2"/>
        <v>0</v>
      </c>
      <c r="F80" s="82" t="s">
        <v>167</v>
      </c>
      <c r="G80" s="67">
        <f t="shared" si="3"/>
        <v>0</v>
      </c>
      <c r="H80" s="82" t="str">
        <f t="shared" si="4"/>
        <v>—</v>
      </c>
      <c r="I80" s="82" t="str">
        <f t="shared" si="5"/>
        <v>—</v>
      </c>
      <c r="J80" s="68"/>
      <c r="K80" s="82" t="s">
        <v>530</v>
      </c>
      <c r="L80" s="82"/>
    </row>
    <row r="81" spans="1:12" ht="28.05" customHeight="1" x14ac:dyDescent="0.3">
      <c r="A81" s="84" t="s">
        <v>531</v>
      </c>
      <c r="B81" s="72" t="s">
        <v>580</v>
      </c>
      <c r="C81" s="72" t="s">
        <v>581</v>
      </c>
      <c r="D81" s="72">
        <f t="shared" si="1"/>
        <v>0</v>
      </c>
      <c r="E81" s="85">
        <f t="shared" si="2"/>
        <v>0</v>
      </c>
      <c r="F81" s="84" t="s">
        <v>532</v>
      </c>
      <c r="G81" s="72">
        <f t="shared" si="3"/>
        <v>0</v>
      </c>
      <c r="H81" s="84" t="str">
        <f t="shared" si="4"/>
        <v>—</v>
      </c>
      <c r="I81" s="84" t="str">
        <f t="shared" si="5"/>
        <v>—</v>
      </c>
      <c r="J81" s="73"/>
      <c r="K81" s="84" t="s">
        <v>165</v>
      </c>
      <c r="L81" s="84"/>
    </row>
    <row r="82" spans="1:12" ht="28.05" customHeight="1" x14ac:dyDescent="0.3">
      <c r="A82" s="82" t="s">
        <v>533</v>
      </c>
      <c r="B82" s="67" t="s">
        <v>582</v>
      </c>
      <c r="C82" s="67" t="s">
        <v>583</v>
      </c>
      <c r="D82" s="67">
        <f t="shared" si="1"/>
        <v>0</v>
      </c>
      <c r="E82" s="83">
        <f t="shared" si="2"/>
        <v>0</v>
      </c>
      <c r="F82" s="82" t="s">
        <v>202</v>
      </c>
      <c r="G82" s="67">
        <f t="shared" si="3"/>
        <v>0</v>
      </c>
      <c r="H82" s="82" t="str">
        <f t="shared" si="4"/>
        <v>—</v>
      </c>
      <c r="I82" s="82" t="str">
        <f t="shared" si="5"/>
        <v>—</v>
      </c>
      <c r="J82" s="68"/>
      <c r="K82" s="82" t="s">
        <v>534</v>
      </c>
      <c r="L82" s="82"/>
    </row>
    <row r="83" spans="1:12" ht="28.05" customHeight="1" x14ac:dyDescent="0.3">
      <c r="A83" s="84" t="s">
        <v>535</v>
      </c>
      <c r="B83" s="72" t="s">
        <v>584</v>
      </c>
      <c r="C83" s="72" t="s">
        <v>585</v>
      </c>
      <c r="D83" s="72">
        <f t="shared" si="1"/>
        <v>0</v>
      </c>
      <c r="E83" s="85">
        <f t="shared" si="2"/>
        <v>0</v>
      </c>
      <c r="F83" s="84" t="s">
        <v>462</v>
      </c>
      <c r="G83" s="72">
        <f t="shared" si="3"/>
        <v>0</v>
      </c>
      <c r="H83" s="84" t="str">
        <f t="shared" si="4"/>
        <v>—</v>
      </c>
      <c r="I83" s="84" t="str">
        <f t="shared" si="5"/>
        <v>—</v>
      </c>
      <c r="J83" s="73"/>
      <c r="K83" s="84" t="s">
        <v>158</v>
      </c>
      <c r="L83" s="84"/>
    </row>
    <row r="85" spans="1:12" ht="36" customHeight="1" x14ac:dyDescent="0.3">
      <c r="A85" s="114" t="s">
        <v>586</v>
      </c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</sheetData>
  <mergeCells count="7">
    <mergeCell ref="A2:L2"/>
    <mergeCell ref="A19:L19"/>
    <mergeCell ref="A1:L1"/>
    <mergeCell ref="A85:L85"/>
    <mergeCell ref="A17:L17"/>
    <mergeCell ref="A74:L74"/>
    <mergeCell ref="A4:L4"/>
  </mergeCells>
  <conditionalFormatting sqref="B21:M25">
    <cfRule type="colorScale" priority="6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H76:H83">
    <cfRule type="cellIs" dxfId="8" priority="7" operator="equal">
      <formula>"CRÍTICO"</formula>
    </cfRule>
    <cfRule type="cellIs" dxfId="7" priority="8" operator="equal">
      <formula>"ALTO"</formula>
    </cfRule>
    <cfRule type="cellIs" dxfId="6" priority="9" operator="equal">
      <formula>"MEDIO"</formula>
    </cfRule>
    <cfRule type="cellIs" dxfId="5" priority="10" operator="equal">
      <formula>"NORMAL"</formula>
    </cfRule>
  </conditionalFormatting>
  <conditionalFormatting sqref="L6:L15">
    <cfRule type="cellIs" dxfId="4" priority="1" operator="equal">
      <formula>"CRÍTICO"</formula>
    </cfRule>
    <cfRule type="cellIs" dxfId="3" priority="2" operator="equal">
      <formula>"ALTO"</formula>
    </cfRule>
    <cfRule type="cellIs" dxfId="2" priority="3" operator="equal">
      <formula>"MEDIO"</formula>
    </cfRule>
    <cfRule type="cellIs" dxfId="1" priority="4" operator="equal">
      <formula>"BAJO"</formula>
    </cfRule>
    <cfRule type="cellIs" dxfId="0" priority="5" operator="equal">
      <formula>"NORMAL"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PORTADA</vt:lpstr>
      <vt:lpstr>PARÁMETROS</vt:lpstr>
      <vt:lpstr>REGISTRO_RIESGOS</vt:lpstr>
      <vt:lpstr>MATRIZ_CALOR</vt:lpstr>
      <vt:lpstr>ANÁLISIS_PARETO</vt:lpstr>
      <vt:lpstr>INDICADORES_KRI</vt:lpstr>
      <vt:lpstr>CONTROLES</vt:lpstr>
      <vt:lpstr>ARCO_CAUSAL</vt:lpstr>
      <vt:lpstr>PROCESOS</vt:lpstr>
      <vt:lpstr>MONITOREO_CANALES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Toro</cp:lastModifiedBy>
  <dcterms:created xsi:type="dcterms:W3CDTF">2026-03-19T12:53:29Z</dcterms:created>
  <dcterms:modified xsi:type="dcterms:W3CDTF">2026-03-19T13:52:09Z</dcterms:modified>
</cp:coreProperties>
</file>